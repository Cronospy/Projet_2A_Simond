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<sst xmlns="http://schemas.openxmlformats.org/spreadsheetml/2006/main" count="11" uniqueCount="8">
  <si>
    <t>Voir condition sur la feuille de calcul avec les hypothèses (présentation 25/11)</t>
  </si>
  <si>
    <t xml:space="preserve">Caméra </t>
  </si>
  <si>
    <t>h (m)</t>
  </si>
  <si>
    <t>D (m)</t>
  </si>
  <si>
    <t>Autonomie (h)</t>
  </si>
  <si>
    <t>Nombre de drone</t>
  </si>
  <si>
    <t xml:space="preserve">Caméra thermique </t>
  </si>
  <si>
    <t>Longueur 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</si>
</sst>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64" xfId="0" applyFont="1" applyNumberFormat="1"/>
    <xf borderId="0" fillId="0" fontId="1" numFmtId="1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38"/>
  </cols>
  <sheetData>
    <row r="1">
      <c r="A1" s="1" t="s">
        <v>0</v>
      </c>
    </row>
    <row r="2">
      <c r="A2" s="1"/>
    </row>
    <row r="3">
      <c r="A3" s="1" t="s">
        <v>1</v>
      </c>
    </row>
    <row r="4">
      <c r="B4" s="1" t="s">
        <v>2</v>
      </c>
      <c r="C4" s="1" t="s">
        <v>3</v>
      </c>
      <c r="D4" s="1" t="s">
        <v>4</v>
      </c>
      <c r="E4" s="1" t="s">
        <v>5</v>
      </c>
    </row>
    <row r="5">
      <c r="B5" s="1">
        <v>2.0</v>
      </c>
      <c r="C5" s="2">
        <f t="shared" ref="C5:C9" si="1">2*B5*TAN(60*PI()/180)</f>
        <v>6.92820323</v>
      </c>
      <c r="D5" s="3">
        <f t="shared" ref="D5:D9" si="2">(((10^6)/((90/100)*C5))+((10^3)-((90/100)*C5)))/(20*(10^3))</f>
        <v>8.06844197</v>
      </c>
      <c r="E5" s="4">
        <f t="shared" ref="E5:E9" si="3">INT(D5*6)+1</f>
        <v>49</v>
      </c>
    </row>
    <row r="6">
      <c r="B6" s="1">
        <v>4.0</v>
      </c>
      <c r="C6" s="2">
        <f t="shared" si="1"/>
        <v>13.85640646</v>
      </c>
      <c r="D6" s="3">
        <f t="shared" si="2"/>
        <v>4.058753331</v>
      </c>
      <c r="E6" s="4">
        <f t="shared" si="3"/>
        <v>25</v>
      </c>
    </row>
    <row r="7">
      <c r="B7" s="1">
        <v>6.0</v>
      </c>
      <c r="C7" s="2">
        <f t="shared" si="1"/>
        <v>20.78460969</v>
      </c>
      <c r="D7" s="3">
        <f t="shared" si="2"/>
        <v>2.721982605</v>
      </c>
      <c r="E7" s="4">
        <f t="shared" si="3"/>
        <v>17</v>
      </c>
    </row>
    <row r="8">
      <c r="B8" s="1">
        <v>8.0</v>
      </c>
      <c r="C8" s="2">
        <f t="shared" si="1"/>
        <v>27.71281292</v>
      </c>
      <c r="D8" s="3">
        <f t="shared" si="2"/>
        <v>2.053441358</v>
      </c>
      <c r="E8" s="4">
        <f t="shared" si="3"/>
        <v>13</v>
      </c>
    </row>
    <row r="9">
      <c r="B9" s="1">
        <v>10.0</v>
      </c>
      <c r="C9" s="2">
        <f t="shared" si="1"/>
        <v>34.64101615</v>
      </c>
      <c r="D9" s="3">
        <f t="shared" si="2"/>
        <v>1.652191902</v>
      </c>
      <c r="E9" s="4">
        <f t="shared" si="3"/>
        <v>10</v>
      </c>
    </row>
    <row r="13">
      <c r="A13" s="1" t="s">
        <v>6</v>
      </c>
    </row>
    <row r="14">
      <c r="B14" s="1" t="s">
        <v>2</v>
      </c>
      <c r="C14" s="1" t="s">
        <v>7</v>
      </c>
      <c r="D14" s="1" t="s">
        <v>4</v>
      </c>
      <c r="E14" s="1" t="s">
        <v>5</v>
      </c>
    </row>
    <row r="15">
      <c r="B15" s="1">
        <v>2.0</v>
      </c>
      <c r="C15" s="2">
        <f t="shared" ref="C15:C19" si="4">2*B15*TAN(15.5*PI()/180)</f>
        <v>1.109298176</v>
      </c>
      <c r="D15" s="2">
        <f t="shared" ref="D15:D19" si="5">(((10^6)/((90/100)*C15))+((10^3)-((90/100)*C15)))/(20*(10^3))</f>
        <v>50.13166548</v>
      </c>
      <c r="E15" s="5">
        <f t="shared" ref="E15:E19" si="6">INT(D15*6)+1</f>
        <v>301</v>
      </c>
    </row>
    <row r="16">
      <c r="B16" s="1">
        <v>4.0</v>
      </c>
      <c r="C16" s="2">
        <f t="shared" si="4"/>
        <v>2.218596352</v>
      </c>
      <c r="D16" s="2">
        <f t="shared" si="5"/>
        <v>25.09075786</v>
      </c>
      <c r="E16" s="5">
        <f t="shared" si="6"/>
        <v>151</v>
      </c>
    </row>
    <row r="17">
      <c r="B17" s="1">
        <v>6.0</v>
      </c>
      <c r="C17" s="2">
        <f t="shared" si="4"/>
        <v>3.327894529</v>
      </c>
      <c r="D17" s="2">
        <f t="shared" si="5"/>
        <v>16.74375538</v>
      </c>
      <c r="E17" s="5">
        <f t="shared" si="6"/>
        <v>101</v>
      </c>
    </row>
    <row r="18">
      <c r="B18" s="1">
        <v>8.0</v>
      </c>
      <c r="C18" s="2">
        <f t="shared" si="4"/>
        <v>4.437192705</v>
      </c>
      <c r="D18" s="2">
        <f t="shared" si="5"/>
        <v>12.57022918</v>
      </c>
      <c r="E18" s="5">
        <f t="shared" si="6"/>
        <v>76</v>
      </c>
    </row>
    <row r="19">
      <c r="B19" s="1">
        <v>10.0</v>
      </c>
      <c r="C19" s="2">
        <f t="shared" si="4"/>
        <v>5.546490881</v>
      </c>
      <c r="D19" s="2">
        <f t="shared" si="5"/>
        <v>10.06609349</v>
      </c>
      <c r="E19" s="5">
        <f t="shared" si="6"/>
        <v>61</v>
      </c>
    </row>
    <row r="20">
      <c r="C20" s="2"/>
      <c r="D20" s="2"/>
    </row>
  </sheetData>
  <mergeCells count="1">
    <mergeCell ref="A1:E1"/>
  </mergeCells>
  <drawing r:id="rId1"/>
</worksheet>
</file>