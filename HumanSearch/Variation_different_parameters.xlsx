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UoClt4WDdqEA88kbI7nxV7ZGkZ0eIGB2vXoihE6o9bE="/>
    </ext>
  </extLst>
</workbook>
</file>

<file path=xl/sharedStrings.xml><?xml version="1.0" encoding="utf-8"?>
<sst xmlns="http://schemas.openxmlformats.org/spreadsheetml/2006/main" count="19" uniqueCount="15">
  <si>
    <t>Hauteur</t>
  </si>
  <si>
    <t>Longueur (m)</t>
  </si>
  <si>
    <t>Largeur (m)</t>
  </si>
  <si>
    <t>Nb d'aller</t>
  </si>
  <si>
    <t>distance (m)</t>
  </si>
  <si>
    <t>95Longueur</t>
  </si>
  <si>
    <t>autonomie (s)</t>
  </si>
  <si>
    <t>autonomie (min)</t>
  </si>
  <si>
    <t>Nb de drone 10 min</t>
  </si>
  <si>
    <t>Nb de drone 20min</t>
  </si>
  <si>
    <t>Nb de photo/s</t>
  </si>
  <si>
    <t>Nb de photo/1000m</t>
  </si>
  <si>
    <t>distance 1 drone (m)</t>
  </si>
  <si>
    <t>Nb de drone</t>
  </si>
  <si>
    <t>distance d'un drone (km)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</si>
</sst>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2" xfId="0" applyFont="1" applyNumberFormat="1"/>
    <xf borderId="0" fillId="0" fontId="3" numFmtId="1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27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</row>
    <row r="2" ht="15.75" customHeight="1">
      <c r="A2" s="1">
        <v>2.0</v>
      </c>
      <c r="B2" s="3">
        <f t="shared" ref="B2:B10" si="1">2*A2*TAN(31*PI()/360)</f>
        <v>1.109298176</v>
      </c>
      <c r="C2" s="3">
        <f t="shared" ref="C2:C10" si="2">2*A2*TAN(23*PI()/360)</f>
        <v>0.8138091977</v>
      </c>
      <c r="D2" s="4">
        <f t="shared" ref="D2:D10" si="3">1000/(B2*95%)</f>
        <v>948.9167128</v>
      </c>
      <c r="E2" s="4">
        <f t="shared" ref="E2:E10" si="4">D2*1000+(D2-1)*(B2*95%)</f>
        <v>949915.659</v>
      </c>
      <c r="F2" s="3">
        <f t="shared" ref="F2:F10" si="5">B2*95%</f>
        <v>1.053833267</v>
      </c>
      <c r="G2" s="4">
        <f t="shared" ref="G2:G10" si="6">E2/((20*1000)/3600)</f>
        <v>170984.8186</v>
      </c>
      <c r="H2" s="4">
        <f t="shared" ref="H2:H10" si="7">G2/60</f>
        <v>2849.746977</v>
      </c>
      <c r="I2" s="1">
        <f t="shared" ref="I2:I10" si="8">INT(G2/(60*10))+1</f>
        <v>285</v>
      </c>
      <c r="J2" s="1">
        <f t="shared" ref="J2:J10" si="9">INT(G2/(60*20))+1</f>
        <v>143</v>
      </c>
      <c r="K2" s="1">
        <f t="shared" ref="K2:K10" si="10">INT((20*1000/3600)/C2)+1</f>
        <v>7</v>
      </c>
      <c r="L2" s="4">
        <f t="shared" ref="L2:L10" si="11">INT(1000/(C2*95%))+1</f>
        <v>1294</v>
      </c>
      <c r="N2" s="4">
        <f t="shared" ref="N2:N10" si="12">6*1000+(6-1)*(B2*95%)</f>
        <v>6005.269166</v>
      </c>
      <c r="O2" s="1">
        <f t="shared" ref="O2:O10" si="13">INT(E2/N2)+1</f>
        <v>159</v>
      </c>
    </row>
    <row r="3" ht="15.75" customHeight="1">
      <c r="A3" s="1">
        <v>3.0</v>
      </c>
      <c r="B3" s="3">
        <f t="shared" si="1"/>
        <v>1.663947264</v>
      </c>
      <c r="C3" s="3">
        <f t="shared" si="2"/>
        <v>1.220713797</v>
      </c>
      <c r="D3" s="4">
        <f t="shared" si="3"/>
        <v>632.6111419</v>
      </c>
      <c r="E3" s="4">
        <f t="shared" si="4"/>
        <v>633609.5611</v>
      </c>
      <c r="F3" s="3">
        <f t="shared" si="5"/>
        <v>1.580749901</v>
      </c>
      <c r="G3" s="4">
        <f t="shared" si="6"/>
        <v>114049.721</v>
      </c>
      <c r="H3" s="4">
        <f t="shared" si="7"/>
        <v>1900.828683</v>
      </c>
      <c r="I3" s="1">
        <f t="shared" si="8"/>
        <v>191</v>
      </c>
      <c r="J3" s="1">
        <f t="shared" si="9"/>
        <v>96</v>
      </c>
      <c r="K3" s="1">
        <f t="shared" si="10"/>
        <v>5</v>
      </c>
      <c r="L3" s="4">
        <f t="shared" si="11"/>
        <v>863</v>
      </c>
      <c r="N3" s="4">
        <f t="shared" si="12"/>
        <v>6007.90375</v>
      </c>
      <c r="O3" s="1">
        <f t="shared" si="13"/>
        <v>106</v>
      </c>
    </row>
    <row r="4" ht="15.75" customHeight="1">
      <c r="A4" s="1">
        <v>4.0</v>
      </c>
      <c r="B4" s="3">
        <f t="shared" si="1"/>
        <v>2.218596352</v>
      </c>
      <c r="C4" s="3">
        <f t="shared" si="2"/>
        <v>1.627618395</v>
      </c>
      <c r="D4" s="4">
        <f t="shared" si="3"/>
        <v>474.4583564</v>
      </c>
      <c r="E4" s="4">
        <f t="shared" si="4"/>
        <v>475456.2487</v>
      </c>
      <c r="F4" s="3">
        <f t="shared" si="5"/>
        <v>2.107666535</v>
      </c>
      <c r="G4" s="4">
        <f t="shared" si="6"/>
        <v>85582.12477</v>
      </c>
      <c r="H4" s="4">
        <f t="shared" si="7"/>
        <v>1426.368746</v>
      </c>
      <c r="I4" s="1">
        <f t="shared" si="8"/>
        <v>143</v>
      </c>
      <c r="J4" s="1">
        <f t="shared" si="9"/>
        <v>72</v>
      </c>
      <c r="K4" s="1">
        <f t="shared" si="10"/>
        <v>4</v>
      </c>
      <c r="L4" s="4">
        <f t="shared" si="11"/>
        <v>647</v>
      </c>
      <c r="N4" s="4">
        <f t="shared" si="12"/>
        <v>6010.538333</v>
      </c>
      <c r="O4" s="1">
        <f t="shared" si="13"/>
        <v>80</v>
      </c>
    </row>
    <row r="5" ht="15.75" customHeight="1">
      <c r="A5" s="1">
        <v>5.0</v>
      </c>
      <c r="B5" s="3">
        <f t="shared" si="1"/>
        <v>2.773245441</v>
      </c>
      <c r="C5" s="3">
        <f t="shared" si="2"/>
        <v>2.034522994</v>
      </c>
      <c r="D5" s="4">
        <f t="shared" si="3"/>
        <v>379.5666851</v>
      </c>
      <c r="E5" s="4">
        <f t="shared" si="4"/>
        <v>380564.0505</v>
      </c>
      <c r="F5" s="3">
        <f t="shared" si="5"/>
        <v>2.634583169</v>
      </c>
      <c r="G5" s="4">
        <f t="shared" si="6"/>
        <v>68501.5291</v>
      </c>
      <c r="H5" s="4">
        <f t="shared" si="7"/>
        <v>1141.692152</v>
      </c>
      <c r="I5" s="1">
        <f t="shared" si="8"/>
        <v>115</v>
      </c>
      <c r="J5" s="1">
        <f t="shared" si="9"/>
        <v>58</v>
      </c>
      <c r="K5" s="1">
        <f t="shared" si="10"/>
        <v>3</v>
      </c>
      <c r="L5" s="4">
        <f t="shared" si="11"/>
        <v>518</v>
      </c>
      <c r="N5" s="4">
        <f t="shared" si="12"/>
        <v>6013.172916</v>
      </c>
      <c r="O5" s="1">
        <f t="shared" si="13"/>
        <v>64</v>
      </c>
    </row>
    <row r="6" ht="15.75" customHeight="1">
      <c r="A6" s="1">
        <v>6.0</v>
      </c>
      <c r="B6" s="3">
        <f t="shared" si="1"/>
        <v>3.327894529</v>
      </c>
      <c r="C6" s="3">
        <f t="shared" si="2"/>
        <v>2.441427593</v>
      </c>
      <c r="D6" s="4">
        <f t="shared" si="3"/>
        <v>316.3055709</v>
      </c>
      <c r="E6" s="4">
        <f t="shared" si="4"/>
        <v>317302.4094</v>
      </c>
      <c r="F6" s="3">
        <f t="shared" si="5"/>
        <v>3.161499802</v>
      </c>
      <c r="G6" s="4">
        <f t="shared" si="6"/>
        <v>57114.4337</v>
      </c>
      <c r="H6" s="4">
        <f t="shared" si="7"/>
        <v>951.9072283</v>
      </c>
      <c r="I6" s="1">
        <f t="shared" si="8"/>
        <v>96</v>
      </c>
      <c r="J6" s="1">
        <f t="shared" si="9"/>
        <v>48</v>
      </c>
      <c r="K6" s="1">
        <f t="shared" si="10"/>
        <v>3</v>
      </c>
      <c r="L6" s="4">
        <f t="shared" si="11"/>
        <v>432</v>
      </c>
      <c r="N6" s="4">
        <f t="shared" si="12"/>
        <v>6015.807499</v>
      </c>
      <c r="O6" s="1">
        <f t="shared" si="13"/>
        <v>53</v>
      </c>
    </row>
    <row r="7" ht="15.75" customHeight="1">
      <c r="A7" s="1">
        <v>7.0</v>
      </c>
      <c r="B7" s="3">
        <f t="shared" si="1"/>
        <v>3.882543617</v>
      </c>
      <c r="C7" s="3">
        <f t="shared" si="2"/>
        <v>2.848332192</v>
      </c>
      <c r="D7" s="4">
        <f t="shared" si="3"/>
        <v>271.1190608</v>
      </c>
      <c r="E7" s="4">
        <f t="shared" si="4"/>
        <v>272115.3724</v>
      </c>
      <c r="F7" s="3">
        <f t="shared" si="5"/>
        <v>3.688416436</v>
      </c>
      <c r="G7" s="4">
        <f t="shared" si="6"/>
        <v>48980.76703</v>
      </c>
      <c r="H7" s="4">
        <f t="shared" si="7"/>
        <v>816.3461172</v>
      </c>
      <c r="I7" s="1">
        <f t="shared" si="8"/>
        <v>82</v>
      </c>
      <c r="J7" s="1">
        <f t="shared" si="9"/>
        <v>41</v>
      </c>
      <c r="K7" s="1">
        <f t="shared" si="10"/>
        <v>2</v>
      </c>
      <c r="L7" s="4">
        <f t="shared" si="11"/>
        <v>370</v>
      </c>
      <c r="N7" s="4">
        <f t="shared" si="12"/>
        <v>6018.442082</v>
      </c>
      <c r="O7" s="1">
        <f t="shared" si="13"/>
        <v>46</v>
      </c>
    </row>
    <row r="8" ht="15.75" customHeight="1">
      <c r="A8" s="1">
        <v>8.0</v>
      </c>
      <c r="B8" s="3">
        <f t="shared" si="1"/>
        <v>4.437192705</v>
      </c>
      <c r="C8" s="3">
        <f t="shared" si="2"/>
        <v>3.255236791</v>
      </c>
      <c r="D8" s="4">
        <f t="shared" si="3"/>
        <v>237.2291782</v>
      </c>
      <c r="E8" s="4">
        <f t="shared" si="4"/>
        <v>238224.9629</v>
      </c>
      <c r="F8" s="3">
        <f t="shared" si="5"/>
        <v>4.21533307</v>
      </c>
      <c r="G8" s="4">
        <f t="shared" si="6"/>
        <v>42880.49332</v>
      </c>
      <c r="H8" s="4">
        <f t="shared" si="7"/>
        <v>714.6748886</v>
      </c>
      <c r="I8" s="1">
        <f t="shared" si="8"/>
        <v>72</v>
      </c>
      <c r="J8" s="1">
        <f t="shared" si="9"/>
        <v>36</v>
      </c>
      <c r="K8" s="1">
        <f t="shared" si="10"/>
        <v>2</v>
      </c>
      <c r="L8" s="4">
        <f t="shared" si="11"/>
        <v>324</v>
      </c>
      <c r="N8" s="4">
        <f t="shared" si="12"/>
        <v>6021.076665</v>
      </c>
      <c r="O8" s="1">
        <f t="shared" si="13"/>
        <v>40</v>
      </c>
    </row>
    <row r="9" ht="15.75" customHeight="1">
      <c r="A9" s="1">
        <v>9.0</v>
      </c>
      <c r="B9" s="3">
        <f t="shared" si="1"/>
        <v>4.991841793</v>
      </c>
      <c r="C9" s="3">
        <f t="shared" si="2"/>
        <v>3.66214139</v>
      </c>
      <c r="D9" s="4">
        <f t="shared" si="3"/>
        <v>210.8703806</v>
      </c>
      <c r="E9" s="4">
        <f t="shared" si="4"/>
        <v>211865.6384</v>
      </c>
      <c r="F9" s="3">
        <f t="shared" si="5"/>
        <v>4.742249703</v>
      </c>
      <c r="G9" s="4">
        <f t="shared" si="6"/>
        <v>38135.81491</v>
      </c>
      <c r="H9" s="4">
        <f t="shared" si="7"/>
        <v>635.5969151</v>
      </c>
      <c r="I9" s="1">
        <f t="shared" si="8"/>
        <v>64</v>
      </c>
      <c r="J9" s="1">
        <f t="shared" si="9"/>
        <v>32</v>
      </c>
      <c r="K9" s="1">
        <f t="shared" si="10"/>
        <v>2</v>
      </c>
      <c r="L9" s="4">
        <f t="shared" si="11"/>
        <v>288</v>
      </c>
      <c r="N9" s="4">
        <f t="shared" si="12"/>
        <v>6023.711249</v>
      </c>
      <c r="O9" s="1">
        <f t="shared" si="13"/>
        <v>36</v>
      </c>
    </row>
    <row r="10" ht="15.75" customHeight="1">
      <c r="A10" s="1">
        <v>10.0</v>
      </c>
      <c r="B10" s="3">
        <f t="shared" si="1"/>
        <v>5.546490881</v>
      </c>
      <c r="C10" s="3">
        <f t="shared" si="2"/>
        <v>4.069045988</v>
      </c>
      <c r="D10" s="4">
        <f t="shared" si="3"/>
        <v>189.7833426</v>
      </c>
      <c r="E10" s="4">
        <f t="shared" si="4"/>
        <v>190778.0734</v>
      </c>
      <c r="F10" s="3">
        <f t="shared" si="5"/>
        <v>5.269166337</v>
      </c>
      <c r="G10" s="4">
        <f t="shared" si="6"/>
        <v>34340.05321</v>
      </c>
      <c r="H10" s="4">
        <f t="shared" si="7"/>
        <v>572.3342202</v>
      </c>
      <c r="I10" s="1">
        <f t="shared" si="8"/>
        <v>58</v>
      </c>
      <c r="J10" s="1">
        <f t="shared" si="9"/>
        <v>29</v>
      </c>
      <c r="K10" s="1">
        <f t="shared" si="10"/>
        <v>2</v>
      </c>
      <c r="L10" s="4">
        <f t="shared" si="11"/>
        <v>259</v>
      </c>
      <c r="N10" s="4">
        <f t="shared" si="12"/>
        <v>6026.345832</v>
      </c>
      <c r="O10" s="1">
        <f t="shared" si="13"/>
        <v>32</v>
      </c>
    </row>
    <row r="11" ht="15.75" customHeight="1">
      <c r="B11" s="2"/>
      <c r="D11" s="4"/>
      <c r="E11" s="4"/>
      <c r="F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1" t="s">
        <v>0</v>
      </c>
      <c r="B18" s="1" t="s">
        <v>1</v>
      </c>
      <c r="C18" s="1" t="s">
        <v>2</v>
      </c>
      <c r="D18" s="1" t="s">
        <v>12</v>
      </c>
      <c r="M18" s="1" t="s">
        <v>14</v>
      </c>
    </row>
    <row r="19" ht="15.75" customHeight="1">
      <c r="A19" s="1">
        <v>2.0</v>
      </c>
      <c r="B19" s="3">
        <f t="shared" ref="B19:B27" si="14">2*A19*TAN(31*PI()/360)</f>
        <v>1.109298176</v>
      </c>
      <c r="C19" s="3">
        <f t="shared" ref="C19:C27" si="15">2*A19*TAN(23*PI()/360)</f>
        <v>0.8138091977</v>
      </c>
      <c r="D19" s="4">
        <f t="shared" ref="D19:D27" si="16">6*1000+(6-1)*(B19*95%)</f>
        <v>6005.269166</v>
      </c>
      <c r="M19" s="5">
        <f>(20*22*60)/3600</f>
        <v>7.333333333</v>
      </c>
    </row>
    <row r="20" ht="15.75" customHeight="1">
      <c r="A20" s="1">
        <v>3.0</v>
      </c>
      <c r="B20" s="3">
        <f t="shared" si="14"/>
        <v>1.663947264</v>
      </c>
      <c r="C20" s="3">
        <f t="shared" si="15"/>
        <v>1.220713797</v>
      </c>
      <c r="D20" s="4">
        <f t="shared" si="16"/>
        <v>6007.90375</v>
      </c>
    </row>
    <row r="21" ht="15.75" customHeight="1">
      <c r="A21" s="1">
        <v>4.0</v>
      </c>
      <c r="B21" s="3">
        <f t="shared" si="14"/>
        <v>2.218596352</v>
      </c>
      <c r="C21" s="3">
        <f t="shared" si="15"/>
        <v>1.627618395</v>
      </c>
      <c r="D21" s="4">
        <f t="shared" si="16"/>
        <v>6010.538333</v>
      </c>
    </row>
    <row r="22" ht="15.75" customHeight="1">
      <c r="A22" s="1">
        <v>5.0</v>
      </c>
      <c r="B22" s="3">
        <f t="shared" si="14"/>
        <v>2.773245441</v>
      </c>
      <c r="C22" s="3">
        <f t="shared" si="15"/>
        <v>2.034522994</v>
      </c>
      <c r="D22" s="4">
        <f t="shared" si="16"/>
        <v>6013.172916</v>
      </c>
    </row>
    <row r="23" ht="15.75" customHeight="1">
      <c r="A23" s="1">
        <v>6.0</v>
      </c>
      <c r="B23" s="3">
        <f t="shared" si="14"/>
        <v>3.327894529</v>
      </c>
      <c r="C23" s="3">
        <f t="shared" si="15"/>
        <v>2.441427593</v>
      </c>
      <c r="D23" s="4">
        <f t="shared" si="16"/>
        <v>6015.807499</v>
      </c>
    </row>
    <row r="24" ht="15.75" customHeight="1">
      <c r="A24" s="1">
        <v>7.0</v>
      </c>
      <c r="B24" s="3">
        <f t="shared" si="14"/>
        <v>3.882543617</v>
      </c>
      <c r="C24" s="3">
        <f t="shared" si="15"/>
        <v>2.848332192</v>
      </c>
      <c r="D24" s="4">
        <f t="shared" si="16"/>
        <v>6018.442082</v>
      </c>
    </row>
    <row r="25" ht="15.75" customHeight="1">
      <c r="A25" s="1">
        <v>8.0</v>
      </c>
      <c r="B25" s="3">
        <f t="shared" si="14"/>
        <v>4.437192705</v>
      </c>
      <c r="C25" s="3">
        <f t="shared" si="15"/>
        <v>3.255236791</v>
      </c>
      <c r="D25" s="4">
        <f t="shared" si="16"/>
        <v>6021.076665</v>
      </c>
    </row>
    <row r="26" ht="15.75" customHeight="1">
      <c r="A26" s="1">
        <v>9.0</v>
      </c>
      <c r="B26" s="3">
        <f t="shared" si="14"/>
        <v>4.991841793</v>
      </c>
      <c r="C26" s="3">
        <f t="shared" si="15"/>
        <v>3.66214139</v>
      </c>
      <c r="D26" s="4">
        <f t="shared" si="16"/>
        <v>6023.711249</v>
      </c>
    </row>
    <row r="27" ht="15.75" customHeight="1">
      <c r="A27" s="1">
        <v>10.0</v>
      </c>
      <c r="B27" s="3">
        <f t="shared" si="14"/>
        <v>5.546490881</v>
      </c>
      <c r="C27" s="3">
        <f t="shared" si="15"/>
        <v>4.069045988</v>
      </c>
      <c r="D27" s="4">
        <f t="shared" si="16"/>
        <v>6026.345832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2025-12-09T15:08:37Z</dcterms:created>
  <dc:creator>Ilona BERTIN</dc:creator>
</cp:coreProperties>
</file>