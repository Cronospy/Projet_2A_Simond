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bre de drone" sheetId="1" r:id="rId5"/>
  </sheets>
  <definedNames/>
  <calcPr/>
</workbook>
</file>

<file path=xl/sharedStrings.xml><?xml version="1.0" encoding="utf-8"?>
<sst xmlns="http://schemas.openxmlformats.org/spreadsheetml/2006/main" count="9" uniqueCount="9">
  <si>
    <t>Largeur</t>
  </si>
  <si>
    <t xml:space="preserve">Longueur </t>
  </si>
  <si>
    <t>Terrain en km2</t>
  </si>
  <si>
    <t>Caméra (°)</t>
  </si>
  <si>
    <t>Caméra (rad)</t>
  </si>
  <si>
    <t>Vitesse (km/h)</t>
  </si>
  <si>
    <t>Autonomie (min)</t>
  </si>
  <si>
    <t>Hauteur (m)</t>
  </si>
  <si>
    <t xml:space="preserve">CONCLUSION :
Dans le tableau, on constate que pour une augmentation de la vitesse de 20 km/h, on perd une autonomie de 10 min.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</si>
</sst>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1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/>
    </xf>
    <xf borderId="1" fillId="3" fontId="1" numFmtId="1" xfId="0" applyAlignment="1" applyBorder="1" applyFill="1" applyFont="1" applyNumberFormat="1">
      <alignment horizontal="center"/>
    </xf>
    <xf borderId="1" fillId="4" fontId="1" numFmtId="1" xfId="0" applyAlignment="1" applyBorder="1" applyFill="1" applyFont="1" applyNumberFormat="1">
      <alignment horizontal="center"/>
    </xf>
    <xf borderId="0" fillId="0" fontId="2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4.25"/>
  </cols>
  <sheetData>
    <row r="1">
      <c r="A1" s="1"/>
      <c r="B1" s="2"/>
      <c r="C1" s="2"/>
      <c r="D1" s="2"/>
      <c r="E1" s="3" t="s">
        <v>0</v>
      </c>
      <c r="F1" s="4">
        <v>1.0</v>
      </c>
      <c r="G1" s="4">
        <v>2.0</v>
      </c>
      <c r="H1" s="4">
        <v>5.0</v>
      </c>
      <c r="I1" s="4">
        <v>10.0</v>
      </c>
      <c r="J1" s="4">
        <v>15.0</v>
      </c>
      <c r="K1" s="4">
        <v>20.0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3" t="s">
        <v>1</v>
      </c>
      <c r="F2" s="4">
        <v>1.0</v>
      </c>
      <c r="G2" s="4">
        <v>2.0</v>
      </c>
      <c r="H2" s="4">
        <v>5.0</v>
      </c>
      <c r="I2" s="4">
        <v>10.0</v>
      </c>
      <c r="J2" s="4">
        <v>15.0</v>
      </c>
      <c r="K2" s="4">
        <v>20.0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3" t="s">
        <v>2</v>
      </c>
      <c r="F3" s="4">
        <f t="shared" ref="F3:K3" si="1">F1*F2</f>
        <v>1</v>
      </c>
      <c r="G3" s="4">
        <f t="shared" si="1"/>
        <v>4</v>
      </c>
      <c r="H3" s="4">
        <f t="shared" si="1"/>
        <v>25</v>
      </c>
      <c r="I3" s="4">
        <f t="shared" si="1"/>
        <v>100</v>
      </c>
      <c r="J3" s="4">
        <f t="shared" si="1"/>
        <v>225</v>
      </c>
      <c r="K3" s="4">
        <f t="shared" si="1"/>
        <v>400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>
        <v>60.0</v>
      </c>
      <c r="B5" s="6">
        <f t="shared" ref="B5:B85" si="2">(A5*2*PI())/360</f>
        <v>1.047197551</v>
      </c>
      <c r="C5" s="6">
        <v>40.0</v>
      </c>
      <c r="D5" s="6">
        <v>20.0</v>
      </c>
      <c r="E5" s="6">
        <v>2.0</v>
      </c>
      <c r="F5" s="7">
        <f>1/((2*E5*0.001*tan(B5/2))*((D5/60)*C5))</f>
        <v>32.47595264</v>
      </c>
      <c r="G5" s="7">
        <f t="shared" ref="G5:G85" si="3">4/((2*E5*0.001*tan(B5/2))*((D5/60)*C5))</f>
        <v>129.9038106</v>
      </c>
      <c r="H5" s="7">
        <f t="shared" ref="H5:H85" si="4">25/((2*E5*0.001*tan(B5/2))*((D5/60)*C5))</f>
        <v>811.898816</v>
      </c>
      <c r="I5" s="7">
        <f t="shared" ref="I5:I85" si="5">100/((2*E5*0.001*tan(B5/2))*((D5/60)*C5))</f>
        <v>3247.595264</v>
      </c>
      <c r="J5" s="7">
        <f t="shared" ref="J5:J85" si="6">225/((2*E5*0.001*tan(B5/2))*((D5/60)*C5))</f>
        <v>7307.089344</v>
      </c>
      <c r="K5" s="8">
        <f t="shared" ref="K5:K85" si="7">400/((2*E5*0.001*tan(B5/2))*((D5/60)*C5))</f>
        <v>12990.38106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>
        <v>90.0</v>
      </c>
      <c r="B6" s="6">
        <f t="shared" si="2"/>
        <v>1.570796327</v>
      </c>
      <c r="C6" s="6">
        <v>40.0</v>
      </c>
      <c r="D6" s="6">
        <v>20.0</v>
      </c>
      <c r="E6" s="6">
        <v>2.0</v>
      </c>
      <c r="F6" s="7">
        <f t="shared" ref="F6:F85" si="8">1/(2*E6*0.001*tan(B6/2)*(D6/60)*C6)</f>
        <v>18.75</v>
      </c>
      <c r="G6" s="7">
        <f t="shared" si="3"/>
        <v>75</v>
      </c>
      <c r="H6" s="7">
        <f t="shared" si="4"/>
        <v>468.75</v>
      </c>
      <c r="I6" s="7">
        <f t="shared" si="5"/>
        <v>1875</v>
      </c>
      <c r="J6" s="7">
        <f t="shared" si="6"/>
        <v>4218.75</v>
      </c>
      <c r="K6" s="7">
        <f t="shared" si="7"/>
        <v>7500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>
        <v>120.0</v>
      </c>
      <c r="B7" s="6">
        <f t="shared" si="2"/>
        <v>2.094395102</v>
      </c>
      <c r="C7" s="6">
        <v>40.0</v>
      </c>
      <c r="D7" s="6">
        <v>20.0</v>
      </c>
      <c r="E7" s="6">
        <v>2.0</v>
      </c>
      <c r="F7" s="7">
        <f t="shared" si="8"/>
        <v>10.82531755</v>
      </c>
      <c r="G7" s="7">
        <f t="shared" si="3"/>
        <v>43.30127019</v>
      </c>
      <c r="H7" s="7">
        <f t="shared" si="4"/>
        <v>270.6329387</v>
      </c>
      <c r="I7" s="7">
        <f t="shared" si="5"/>
        <v>1082.531755</v>
      </c>
      <c r="J7" s="7">
        <f t="shared" si="6"/>
        <v>2435.696448</v>
      </c>
      <c r="K7" s="7">
        <f t="shared" si="7"/>
        <v>4330.127019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>
        <v>60.0</v>
      </c>
      <c r="B8" s="6">
        <f t="shared" si="2"/>
        <v>1.047197551</v>
      </c>
      <c r="C8" s="6">
        <v>60.0</v>
      </c>
      <c r="D8" s="6">
        <v>20.0</v>
      </c>
      <c r="E8" s="6">
        <v>2.0</v>
      </c>
      <c r="F8" s="7">
        <f t="shared" si="8"/>
        <v>21.65063509</v>
      </c>
      <c r="G8" s="7">
        <f t="shared" si="3"/>
        <v>86.60254038</v>
      </c>
      <c r="H8" s="7">
        <f t="shared" si="4"/>
        <v>541.2658774</v>
      </c>
      <c r="I8" s="7">
        <f t="shared" si="5"/>
        <v>2165.063509</v>
      </c>
      <c r="J8" s="7">
        <f t="shared" si="6"/>
        <v>4871.392896</v>
      </c>
      <c r="K8" s="7">
        <f t="shared" si="7"/>
        <v>8660.254038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>
        <v>90.0</v>
      </c>
      <c r="B9" s="6">
        <f t="shared" si="2"/>
        <v>1.570796327</v>
      </c>
      <c r="C9" s="6">
        <v>60.0</v>
      </c>
      <c r="D9" s="6">
        <v>20.0</v>
      </c>
      <c r="E9" s="6">
        <v>2.0</v>
      </c>
      <c r="F9" s="7">
        <f t="shared" si="8"/>
        <v>12.5</v>
      </c>
      <c r="G9" s="7">
        <f t="shared" si="3"/>
        <v>50</v>
      </c>
      <c r="H9" s="7">
        <f t="shared" si="4"/>
        <v>312.5</v>
      </c>
      <c r="I9" s="7">
        <f t="shared" si="5"/>
        <v>1250</v>
      </c>
      <c r="J9" s="7">
        <f t="shared" si="6"/>
        <v>2812.5</v>
      </c>
      <c r="K9" s="7">
        <f t="shared" si="7"/>
        <v>5000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>
        <v>120.0</v>
      </c>
      <c r="B10" s="6">
        <f t="shared" si="2"/>
        <v>2.094395102</v>
      </c>
      <c r="C10" s="6">
        <v>60.0</v>
      </c>
      <c r="D10" s="6">
        <v>20.0</v>
      </c>
      <c r="E10" s="6">
        <v>2.0</v>
      </c>
      <c r="F10" s="7">
        <f t="shared" si="8"/>
        <v>7.216878365</v>
      </c>
      <c r="G10" s="7">
        <f t="shared" si="3"/>
        <v>28.86751346</v>
      </c>
      <c r="H10" s="7">
        <f t="shared" si="4"/>
        <v>180.4219591</v>
      </c>
      <c r="I10" s="7">
        <f t="shared" si="5"/>
        <v>721.6878365</v>
      </c>
      <c r="J10" s="7">
        <f t="shared" si="6"/>
        <v>1623.797632</v>
      </c>
      <c r="K10" s="7">
        <f t="shared" si="7"/>
        <v>2886.751346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>
        <v>60.0</v>
      </c>
      <c r="B11" s="6">
        <f t="shared" si="2"/>
        <v>1.047197551</v>
      </c>
      <c r="C11" s="6">
        <v>80.0</v>
      </c>
      <c r="D11" s="6">
        <v>20.0</v>
      </c>
      <c r="E11" s="6">
        <v>2.0</v>
      </c>
      <c r="F11" s="7">
        <f t="shared" si="8"/>
        <v>16.23797632</v>
      </c>
      <c r="G11" s="7">
        <f t="shared" si="3"/>
        <v>64.95190528</v>
      </c>
      <c r="H11" s="7">
        <f t="shared" si="4"/>
        <v>405.949408</v>
      </c>
      <c r="I11" s="7">
        <f t="shared" si="5"/>
        <v>1623.797632</v>
      </c>
      <c r="J11" s="7">
        <f t="shared" si="6"/>
        <v>3653.544672</v>
      </c>
      <c r="K11" s="7">
        <f t="shared" si="7"/>
        <v>6495.190528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>
        <v>90.0</v>
      </c>
      <c r="B12" s="6">
        <f t="shared" si="2"/>
        <v>1.570796327</v>
      </c>
      <c r="C12" s="6">
        <v>80.0</v>
      </c>
      <c r="D12" s="6">
        <v>20.0</v>
      </c>
      <c r="E12" s="6">
        <v>2.0</v>
      </c>
      <c r="F12" s="7">
        <f t="shared" si="8"/>
        <v>9.375</v>
      </c>
      <c r="G12" s="7">
        <f t="shared" si="3"/>
        <v>37.5</v>
      </c>
      <c r="H12" s="7">
        <f t="shared" si="4"/>
        <v>234.375</v>
      </c>
      <c r="I12" s="7">
        <f t="shared" si="5"/>
        <v>937.5</v>
      </c>
      <c r="J12" s="7">
        <f t="shared" si="6"/>
        <v>2109.375</v>
      </c>
      <c r="K12" s="7">
        <f t="shared" si="7"/>
        <v>3750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>
        <v>120.0</v>
      </c>
      <c r="B13" s="6">
        <f t="shared" si="2"/>
        <v>2.094395102</v>
      </c>
      <c r="C13" s="6">
        <v>80.0</v>
      </c>
      <c r="D13" s="6">
        <v>20.0</v>
      </c>
      <c r="E13" s="6">
        <v>2.0</v>
      </c>
      <c r="F13" s="7">
        <f t="shared" si="8"/>
        <v>5.412658774</v>
      </c>
      <c r="G13" s="7">
        <f t="shared" si="3"/>
        <v>21.65063509</v>
      </c>
      <c r="H13" s="7">
        <f t="shared" si="4"/>
        <v>135.3164693</v>
      </c>
      <c r="I13" s="7">
        <f t="shared" si="5"/>
        <v>541.2658774</v>
      </c>
      <c r="J13" s="7">
        <f t="shared" si="6"/>
        <v>1217.848224</v>
      </c>
      <c r="K13" s="7">
        <f t="shared" si="7"/>
        <v>2165.063509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>
        <v>60.0</v>
      </c>
      <c r="B14" s="6">
        <f t="shared" si="2"/>
        <v>1.047197551</v>
      </c>
      <c r="C14" s="6">
        <v>40.0</v>
      </c>
      <c r="D14" s="6">
        <v>30.0</v>
      </c>
      <c r="E14" s="6">
        <v>2.0</v>
      </c>
      <c r="F14" s="7">
        <f t="shared" si="8"/>
        <v>21.65063509</v>
      </c>
      <c r="G14" s="7">
        <f t="shared" si="3"/>
        <v>86.60254038</v>
      </c>
      <c r="H14" s="7">
        <f t="shared" si="4"/>
        <v>541.2658774</v>
      </c>
      <c r="I14" s="7">
        <f t="shared" si="5"/>
        <v>2165.063509</v>
      </c>
      <c r="J14" s="7">
        <f t="shared" si="6"/>
        <v>4871.392896</v>
      </c>
      <c r="K14" s="7">
        <f t="shared" si="7"/>
        <v>8660.254038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>
        <v>90.0</v>
      </c>
      <c r="B15" s="6">
        <f t="shared" si="2"/>
        <v>1.570796327</v>
      </c>
      <c r="C15" s="6">
        <v>40.0</v>
      </c>
      <c r="D15" s="6">
        <v>30.0</v>
      </c>
      <c r="E15" s="6">
        <v>2.0</v>
      </c>
      <c r="F15" s="7">
        <f t="shared" si="8"/>
        <v>12.5</v>
      </c>
      <c r="G15" s="7">
        <f t="shared" si="3"/>
        <v>50</v>
      </c>
      <c r="H15" s="7">
        <f t="shared" si="4"/>
        <v>312.5</v>
      </c>
      <c r="I15" s="7">
        <f t="shared" si="5"/>
        <v>1250</v>
      </c>
      <c r="J15" s="7">
        <f t="shared" si="6"/>
        <v>2812.5</v>
      </c>
      <c r="K15" s="7">
        <f t="shared" si="7"/>
        <v>5000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>
        <v>120.0</v>
      </c>
      <c r="B16" s="6">
        <f t="shared" si="2"/>
        <v>2.094395102</v>
      </c>
      <c r="C16" s="6">
        <v>40.0</v>
      </c>
      <c r="D16" s="6">
        <v>30.0</v>
      </c>
      <c r="E16" s="6">
        <v>2.0</v>
      </c>
      <c r="F16" s="7">
        <f t="shared" si="8"/>
        <v>7.216878365</v>
      </c>
      <c r="G16" s="7">
        <f t="shared" si="3"/>
        <v>28.86751346</v>
      </c>
      <c r="H16" s="7">
        <f t="shared" si="4"/>
        <v>180.4219591</v>
      </c>
      <c r="I16" s="7">
        <f t="shared" si="5"/>
        <v>721.6878365</v>
      </c>
      <c r="J16" s="7">
        <f t="shared" si="6"/>
        <v>1623.797632</v>
      </c>
      <c r="K16" s="7">
        <f t="shared" si="7"/>
        <v>2886.751346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>
        <v>60.0</v>
      </c>
      <c r="B17" s="6">
        <f t="shared" si="2"/>
        <v>1.047197551</v>
      </c>
      <c r="C17" s="6">
        <v>60.0</v>
      </c>
      <c r="D17" s="6">
        <v>30.0</v>
      </c>
      <c r="E17" s="6">
        <v>2.0</v>
      </c>
      <c r="F17" s="7">
        <f t="shared" si="8"/>
        <v>14.43375673</v>
      </c>
      <c r="G17" s="7">
        <f t="shared" si="3"/>
        <v>57.73502692</v>
      </c>
      <c r="H17" s="7">
        <f t="shared" si="4"/>
        <v>360.8439182</v>
      </c>
      <c r="I17" s="7">
        <f t="shared" si="5"/>
        <v>1443.375673</v>
      </c>
      <c r="J17" s="7">
        <f t="shared" si="6"/>
        <v>3247.595264</v>
      </c>
      <c r="K17" s="7">
        <f t="shared" si="7"/>
        <v>5773.502692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>
        <v>90.0</v>
      </c>
      <c r="B18" s="6">
        <f t="shared" si="2"/>
        <v>1.570796327</v>
      </c>
      <c r="C18" s="6">
        <v>60.0</v>
      </c>
      <c r="D18" s="6">
        <v>30.0</v>
      </c>
      <c r="E18" s="6">
        <v>2.0</v>
      </c>
      <c r="F18" s="7">
        <f t="shared" si="8"/>
        <v>8.333333333</v>
      </c>
      <c r="G18" s="7">
        <f t="shared" si="3"/>
        <v>33.33333333</v>
      </c>
      <c r="H18" s="7">
        <f t="shared" si="4"/>
        <v>208.3333333</v>
      </c>
      <c r="I18" s="7">
        <f t="shared" si="5"/>
        <v>833.3333333</v>
      </c>
      <c r="J18" s="7">
        <f t="shared" si="6"/>
        <v>1875</v>
      </c>
      <c r="K18" s="7">
        <f t="shared" si="7"/>
        <v>3333.333333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>
        <v>120.0</v>
      </c>
      <c r="B19" s="6">
        <f t="shared" si="2"/>
        <v>2.094395102</v>
      </c>
      <c r="C19" s="6">
        <v>60.0</v>
      </c>
      <c r="D19" s="6">
        <v>30.0</v>
      </c>
      <c r="E19" s="6">
        <v>2.0</v>
      </c>
      <c r="F19" s="7">
        <f t="shared" si="8"/>
        <v>4.811252243</v>
      </c>
      <c r="G19" s="7">
        <f t="shared" si="3"/>
        <v>19.24500897</v>
      </c>
      <c r="H19" s="7">
        <f t="shared" si="4"/>
        <v>120.2813061</v>
      </c>
      <c r="I19" s="7">
        <f t="shared" si="5"/>
        <v>481.1252243</v>
      </c>
      <c r="J19" s="7">
        <f t="shared" si="6"/>
        <v>1082.531755</v>
      </c>
      <c r="K19" s="7">
        <f t="shared" si="7"/>
        <v>1924.500897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>
        <v>60.0</v>
      </c>
      <c r="B20" s="6">
        <f t="shared" si="2"/>
        <v>1.047197551</v>
      </c>
      <c r="C20" s="6">
        <v>80.0</v>
      </c>
      <c r="D20" s="6">
        <v>30.0</v>
      </c>
      <c r="E20" s="6">
        <v>2.0</v>
      </c>
      <c r="F20" s="7">
        <f t="shared" si="8"/>
        <v>10.82531755</v>
      </c>
      <c r="G20" s="7">
        <f t="shared" si="3"/>
        <v>43.30127019</v>
      </c>
      <c r="H20" s="7">
        <f t="shared" si="4"/>
        <v>270.6329387</v>
      </c>
      <c r="I20" s="7">
        <f t="shared" si="5"/>
        <v>1082.531755</v>
      </c>
      <c r="J20" s="7">
        <f t="shared" si="6"/>
        <v>2435.696448</v>
      </c>
      <c r="K20" s="7">
        <f t="shared" si="7"/>
        <v>4330.127019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">
        <v>90.0</v>
      </c>
      <c r="B21" s="6">
        <f t="shared" si="2"/>
        <v>1.570796327</v>
      </c>
      <c r="C21" s="6">
        <v>80.0</v>
      </c>
      <c r="D21" s="6">
        <v>30.0</v>
      </c>
      <c r="E21" s="6">
        <v>2.0</v>
      </c>
      <c r="F21" s="7">
        <f t="shared" si="8"/>
        <v>6.25</v>
      </c>
      <c r="G21" s="7">
        <f t="shared" si="3"/>
        <v>25</v>
      </c>
      <c r="H21" s="7">
        <f t="shared" si="4"/>
        <v>156.25</v>
      </c>
      <c r="I21" s="7">
        <f t="shared" si="5"/>
        <v>625</v>
      </c>
      <c r="J21" s="7">
        <f t="shared" si="6"/>
        <v>1406.25</v>
      </c>
      <c r="K21" s="7">
        <f t="shared" si="7"/>
        <v>2500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>
        <v>120.0</v>
      </c>
      <c r="B22" s="6">
        <f t="shared" si="2"/>
        <v>2.094395102</v>
      </c>
      <c r="C22" s="6">
        <v>80.0</v>
      </c>
      <c r="D22" s="6">
        <v>30.0</v>
      </c>
      <c r="E22" s="6">
        <v>2.0</v>
      </c>
      <c r="F22" s="7">
        <f t="shared" si="8"/>
        <v>3.608439182</v>
      </c>
      <c r="G22" s="7">
        <f t="shared" si="3"/>
        <v>14.43375673</v>
      </c>
      <c r="H22" s="7">
        <f t="shared" si="4"/>
        <v>90.21097956</v>
      </c>
      <c r="I22" s="7">
        <f t="shared" si="5"/>
        <v>360.8439182</v>
      </c>
      <c r="J22" s="7">
        <f t="shared" si="6"/>
        <v>811.898816</v>
      </c>
      <c r="K22" s="7">
        <f t="shared" si="7"/>
        <v>1443.375673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>
        <v>60.0</v>
      </c>
      <c r="B23" s="6">
        <f t="shared" si="2"/>
        <v>1.047197551</v>
      </c>
      <c r="C23" s="6">
        <v>40.0</v>
      </c>
      <c r="D23" s="6">
        <v>40.0</v>
      </c>
      <c r="E23" s="6">
        <v>2.0</v>
      </c>
      <c r="F23" s="7">
        <f t="shared" si="8"/>
        <v>16.23797632</v>
      </c>
      <c r="G23" s="7">
        <f t="shared" si="3"/>
        <v>64.95190528</v>
      </c>
      <c r="H23" s="7">
        <f t="shared" si="4"/>
        <v>405.949408</v>
      </c>
      <c r="I23" s="7">
        <f t="shared" si="5"/>
        <v>1623.797632</v>
      </c>
      <c r="J23" s="7">
        <f t="shared" si="6"/>
        <v>3653.544672</v>
      </c>
      <c r="K23" s="7">
        <f t="shared" si="7"/>
        <v>6495.190528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">
        <v>90.0</v>
      </c>
      <c r="B24" s="6">
        <f t="shared" si="2"/>
        <v>1.570796327</v>
      </c>
      <c r="C24" s="6">
        <v>40.0</v>
      </c>
      <c r="D24" s="6">
        <v>40.0</v>
      </c>
      <c r="E24" s="6">
        <v>2.0</v>
      </c>
      <c r="F24" s="7">
        <f t="shared" si="8"/>
        <v>9.375</v>
      </c>
      <c r="G24" s="7">
        <f t="shared" si="3"/>
        <v>37.5</v>
      </c>
      <c r="H24" s="7">
        <f t="shared" si="4"/>
        <v>234.375</v>
      </c>
      <c r="I24" s="7">
        <f t="shared" si="5"/>
        <v>937.5</v>
      </c>
      <c r="J24" s="7">
        <f t="shared" si="6"/>
        <v>2109.375</v>
      </c>
      <c r="K24" s="7">
        <f t="shared" si="7"/>
        <v>3750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>
        <v>120.0</v>
      </c>
      <c r="B25" s="6">
        <f t="shared" si="2"/>
        <v>2.094395102</v>
      </c>
      <c r="C25" s="6">
        <v>40.0</v>
      </c>
      <c r="D25" s="6">
        <v>40.0</v>
      </c>
      <c r="E25" s="6">
        <v>2.0</v>
      </c>
      <c r="F25" s="7">
        <f t="shared" si="8"/>
        <v>5.412658774</v>
      </c>
      <c r="G25" s="7">
        <f t="shared" si="3"/>
        <v>21.65063509</v>
      </c>
      <c r="H25" s="7">
        <f t="shared" si="4"/>
        <v>135.3164693</v>
      </c>
      <c r="I25" s="7">
        <f t="shared" si="5"/>
        <v>541.2658774</v>
      </c>
      <c r="J25" s="7">
        <f t="shared" si="6"/>
        <v>1217.848224</v>
      </c>
      <c r="K25" s="7">
        <f t="shared" si="7"/>
        <v>2165.063509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>
        <v>60.0</v>
      </c>
      <c r="B26" s="6">
        <f t="shared" si="2"/>
        <v>1.047197551</v>
      </c>
      <c r="C26" s="6">
        <v>60.0</v>
      </c>
      <c r="D26" s="6">
        <v>40.0</v>
      </c>
      <c r="E26" s="6">
        <v>2.0</v>
      </c>
      <c r="F26" s="7">
        <f t="shared" si="8"/>
        <v>10.82531755</v>
      </c>
      <c r="G26" s="7">
        <f t="shared" si="3"/>
        <v>43.30127019</v>
      </c>
      <c r="H26" s="7">
        <f t="shared" si="4"/>
        <v>270.6329387</v>
      </c>
      <c r="I26" s="7">
        <f t="shared" si="5"/>
        <v>1082.531755</v>
      </c>
      <c r="J26" s="7">
        <f t="shared" si="6"/>
        <v>2435.696448</v>
      </c>
      <c r="K26" s="7">
        <f t="shared" si="7"/>
        <v>4330.127019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>
        <v>90.0</v>
      </c>
      <c r="B27" s="6">
        <f t="shared" si="2"/>
        <v>1.570796327</v>
      </c>
      <c r="C27" s="6">
        <v>60.0</v>
      </c>
      <c r="D27" s="6">
        <v>40.0</v>
      </c>
      <c r="E27" s="6">
        <v>2.0</v>
      </c>
      <c r="F27" s="7">
        <f t="shared" si="8"/>
        <v>6.25</v>
      </c>
      <c r="G27" s="7">
        <f t="shared" si="3"/>
        <v>25</v>
      </c>
      <c r="H27" s="7">
        <f t="shared" si="4"/>
        <v>156.25</v>
      </c>
      <c r="I27" s="7">
        <f t="shared" si="5"/>
        <v>625</v>
      </c>
      <c r="J27" s="7">
        <f t="shared" si="6"/>
        <v>1406.25</v>
      </c>
      <c r="K27" s="7">
        <f t="shared" si="7"/>
        <v>2500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>
        <v>120.0</v>
      </c>
      <c r="B28" s="6">
        <f t="shared" si="2"/>
        <v>2.094395102</v>
      </c>
      <c r="C28" s="6">
        <v>60.0</v>
      </c>
      <c r="D28" s="6">
        <v>40.0</v>
      </c>
      <c r="E28" s="6">
        <v>2.0</v>
      </c>
      <c r="F28" s="7">
        <f t="shared" si="8"/>
        <v>3.608439182</v>
      </c>
      <c r="G28" s="7">
        <f t="shared" si="3"/>
        <v>14.43375673</v>
      </c>
      <c r="H28" s="7">
        <f t="shared" si="4"/>
        <v>90.21097956</v>
      </c>
      <c r="I28" s="7">
        <f t="shared" si="5"/>
        <v>360.8439182</v>
      </c>
      <c r="J28" s="7">
        <f t="shared" si="6"/>
        <v>811.898816</v>
      </c>
      <c r="K28" s="7">
        <f t="shared" si="7"/>
        <v>1443.375673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>
        <v>60.0</v>
      </c>
      <c r="B29" s="6">
        <f t="shared" si="2"/>
        <v>1.047197551</v>
      </c>
      <c r="C29" s="6">
        <v>80.0</v>
      </c>
      <c r="D29" s="6">
        <v>40.0</v>
      </c>
      <c r="E29" s="6">
        <v>2.0</v>
      </c>
      <c r="F29" s="7">
        <f t="shared" si="8"/>
        <v>8.11898816</v>
      </c>
      <c r="G29" s="7">
        <f t="shared" si="3"/>
        <v>32.47595264</v>
      </c>
      <c r="H29" s="7">
        <f t="shared" si="4"/>
        <v>202.974704</v>
      </c>
      <c r="I29" s="7">
        <f t="shared" si="5"/>
        <v>811.898816</v>
      </c>
      <c r="J29" s="7">
        <f t="shared" si="6"/>
        <v>1826.772336</v>
      </c>
      <c r="K29" s="7">
        <f t="shared" si="7"/>
        <v>3247.595264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>
        <v>90.0</v>
      </c>
      <c r="B30" s="6">
        <f t="shared" si="2"/>
        <v>1.570796327</v>
      </c>
      <c r="C30" s="6">
        <v>80.0</v>
      </c>
      <c r="D30" s="6">
        <v>40.0</v>
      </c>
      <c r="E30" s="6">
        <v>2.0</v>
      </c>
      <c r="F30" s="7">
        <f t="shared" si="8"/>
        <v>4.6875</v>
      </c>
      <c r="G30" s="7">
        <f t="shared" si="3"/>
        <v>18.75</v>
      </c>
      <c r="H30" s="7">
        <f t="shared" si="4"/>
        <v>117.1875</v>
      </c>
      <c r="I30" s="7">
        <f t="shared" si="5"/>
        <v>468.75</v>
      </c>
      <c r="J30" s="7">
        <f t="shared" si="6"/>
        <v>1054.6875</v>
      </c>
      <c r="K30" s="7">
        <f t="shared" si="7"/>
        <v>1875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>
        <v>120.0</v>
      </c>
      <c r="B31" s="6">
        <f t="shared" si="2"/>
        <v>2.094395102</v>
      </c>
      <c r="C31" s="6">
        <v>80.0</v>
      </c>
      <c r="D31" s="6">
        <v>40.0</v>
      </c>
      <c r="E31" s="6">
        <v>2.0</v>
      </c>
      <c r="F31" s="7">
        <f t="shared" si="8"/>
        <v>2.706329387</v>
      </c>
      <c r="G31" s="7">
        <f t="shared" si="3"/>
        <v>10.82531755</v>
      </c>
      <c r="H31" s="7">
        <f t="shared" si="4"/>
        <v>67.65823467</v>
      </c>
      <c r="I31" s="7">
        <f t="shared" si="5"/>
        <v>270.6329387</v>
      </c>
      <c r="J31" s="7">
        <f t="shared" si="6"/>
        <v>608.924112</v>
      </c>
      <c r="K31" s="7">
        <f t="shared" si="7"/>
        <v>1082.531755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>
        <v>60.0</v>
      </c>
      <c r="B32" s="6">
        <f t="shared" si="2"/>
        <v>1.047197551</v>
      </c>
      <c r="C32" s="6">
        <v>40.0</v>
      </c>
      <c r="D32" s="6">
        <v>20.0</v>
      </c>
      <c r="E32" s="6">
        <v>5.0</v>
      </c>
      <c r="F32" s="7">
        <f t="shared" si="8"/>
        <v>12.99038106</v>
      </c>
      <c r="G32" s="7">
        <f t="shared" si="3"/>
        <v>51.96152423</v>
      </c>
      <c r="H32" s="7">
        <f t="shared" si="4"/>
        <v>324.7595264</v>
      </c>
      <c r="I32" s="7">
        <f t="shared" si="5"/>
        <v>1299.038106</v>
      </c>
      <c r="J32" s="7">
        <f t="shared" si="6"/>
        <v>2922.835738</v>
      </c>
      <c r="K32" s="7">
        <f t="shared" si="7"/>
        <v>5196.152423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>
        <v>90.0</v>
      </c>
      <c r="B33" s="6">
        <f t="shared" si="2"/>
        <v>1.570796327</v>
      </c>
      <c r="C33" s="6">
        <v>40.0</v>
      </c>
      <c r="D33" s="6">
        <v>20.0</v>
      </c>
      <c r="E33" s="6">
        <v>5.0</v>
      </c>
      <c r="F33" s="7">
        <f t="shared" si="8"/>
        <v>7.5</v>
      </c>
      <c r="G33" s="7">
        <f t="shared" si="3"/>
        <v>30</v>
      </c>
      <c r="H33" s="7">
        <f t="shared" si="4"/>
        <v>187.5</v>
      </c>
      <c r="I33" s="7">
        <f t="shared" si="5"/>
        <v>750</v>
      </c>
      <c r="J33" s="7">
        <f t="shared" si="6"/>
        <v>1687.5</v>
      </c>
      <c r="K33" s="7">
        <f t="shared" si="7"/>
        <v>3000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>
        <v>120.0</v>
      </c>
      <c r="B34" s="6">
        <f t="shared" si="2"/>
        <v>2.094395102</v>
      </c>
      <c r="C34" s="6">
        <v>40.0</v>
      </c>
      <c r="D34" s="6">
        <v>20.0</v>
      </c>
      <c r="E34" s="6">
        <v>5.0</v>
      </c>
      <c r="F34" s="7">
        <f t="shared" si="8"/>
        <v>4.330127019</v>
      </c>
      <c r="G34" s="7">
        <f t="shared" si="3"/>
        <v>17.32050808</v>
      </c>
      <c r="H34" s="7">
        <f t="shared" si="4"/>
        <v>108.2531755</v>
      </c>
      <c r="I34" s="7">
        <f t="shared" si="5"/>
        <v>433.0127019</v>
      </c>
      <c r="J34" s="7">
        <f t="shared" si="6"/>
        <v>974.2785793</v>
      </c>
      <c r="K34" s="7">
        <f t="shared" si="7"/>
        <v>1732.050808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>
        <v>60.0</v>
      </c>
      <c r="B35" s="6">
        <f t="shared" si="2"/>
        <v>1.047197551</v>
      </c>
      <c r="C35" s="6">
        <v>60.0</v>
      </c>
      <c r="D35" s="6">
        <v>20.0</v>
      </c>
      <c r="E35" s="6">
        <v>5.0</v>
      </c>
      <c r="F35" s="7">
        <f t="shared" si="8"/>
        <v>8.660254038</v>
      </c>
      <c r="G35" s="7">
        <f t="shared" si="3"/>
        <v>34.64101615</v>
      </c>
      <c r="H35" s="7">
        <f t="shared" si="4"/>
        <v>216.5063509</v>
      </c>
      <c r="I35" s="7">
        <f t="shared" si="5"/>
        <v>866.0254038</v>
      </c>
      <c r="J35" s="7">
        <f t="shared" si="6"/>
        <v>1948.557159</v>
      </c>
      <c r="K35" s="7">
        <f t="shared" si="7"/>
        <v>3464.101615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">
        <v>90.0</v>
      </c>
      <c r="B36" s="6">
        <f t="shared" si="2"/>
        <v>1.570796327</v>
      </c>
      <c r="C36" s="6">
        <v>60.0</v>
      </c>
      <c r="D36" s="6">
        <v>20.0</v>
      </c>
      <c r="E36" s="6">
        <v>5.0</v>
      </c>
      <c r="F36" s="7">
        <f t="shared" si="8"/>
        <v>5</v>
      </c>
      <c r="G36" s="7">
        <f t="shared" si="3"/>
        <v>20</v>
      </c>
      <c r="H36" s="7">
        <f t="shared" si="4"/>
        <v>125</v>
      </c>
      <c r="I36" s="7">
        <f t="shared" si="5"/>
        <v>500</v>
      </c>
      <c r="J36" s="7">
        <f t="shared" si="6"/>
        <v>1125</v>
      </c>
      <c r="K36" s="7">
        <f t="shared" si="7"/>
        <v>2000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6">
        <v>120.0</v>
      </c>
      <c r="B37" s="6">
        <f t="shared" si="2"/>
        <v>2.094395102</v>
      </c>
      <c r="C37" s="6">
        <v>60.0</v>
      </c>
      <c r="D37" s="6">
        <v>20.0</v>
      </c>
      <c r="E37" s="6">
        <v>5.0</v>
      </c>
      <c r="F37" s="7">
        <f t="shared" si="8"/>
        <v>2.886751346</v>
      </c>
      <c r="G37" s="7">
        <f t="shared" si="3"/>
        <v>11.54700538</v>
      </c>
      <c r="H37" s="7">
        <f t="shared" si="4"/>
        <v>72.16878365</v>
      </c>
      <c r="I37" s="7">
        <f t="shared" si="5"/>
        <v>288.6751346</v>
      </c>
      <c r="J37" s="7">
        <f t="shared" si="6"/>
        <v>649.5190528</v>
      </c>
      <c r="K37" s="7">
        <f t="shared" si="7"/>
        <v>1154.700538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>
        <v>60.0</v>
      </c>
      <c r="B38" s="6">
        <f t="shared" si="2"/>
        <v>1.047197551</v>
      </c>
      <c r="C38" s="6">
        <v>80.0</v>
      </c>
      <c r="D38" s="6">
        <v>20.0</v>
      </c>
      <c r="E38" s="6">
        <v>5.0</v>
      </c>
      <c r="F38" s="7">
        <f t="shared" si="8"/>
        <v>6.495190528</v>
      </c>
      <c r="G38" s="7">
        <f t="shared" si="3"/>
        <v>25.98076211</v>
      </c>
      <c r="H38" s="7">
        <f t="shared" si="4"/>
        <v>162.3797632</v>
      </c>
      <c r="I38" s="7">
        <f t="shared" si="5"/>
        <v>649.5190528</v>
      </c>
      <c r="J38" s="7">
        <f t="shared" si="6"/>
        <v>1461.417869</v>
      </c>
      <c r="K38" s="7">
        <f t="shared" si="7"/>
        <v>2598.076211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6">
        <v>90.0</v>
      </c>
      <c r="B39" s="6">
        <f t="shared" si="2"/>
        <v>1.570796327</v>
      </c>
      <c r="C39" s="6">
        <v>80.0</v>
      </c>
      <c r="D39" s="6">
        <v>20.0</v>
      </c>
      <c r="E39" s="6">
        <v>5.0</v>
      </c>
      <c r="F39" s="7">
        <f t="shared" si="8"/>
        <v>3.75</v>
      </c>
      <c r="G39" s="7">
        <f t="shared" si="3"/>
        <v>15</v>
      </c>
      <c r="H39" s="7">
        <f t="shared" si="4"/>
        <v>93.75</v>
      </c>
      <c r="I39" s="7">
        <f t="shared" si="5"/>
        <v>375</v>
      </c>
      <c r="J39" s="7">
        <f t="shared" si="6"/>
        <v>843.75</v>
      </c>
      <c r="K39" s="7">
        <f t="shared" si="7"/>
        <v>1500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6">
        <v>120.0</v>
      </c>
      <c r="B40" s="6">
        <f t="shared" si="2"/>
        <v>2.094395102</v>
      </c>
      <c r="C40" s="6">
        <v>80.0</v>
      </c>
      <c r="D40" s="6">
        <v>20.0</v>
      </c>
      <c r="E40" s="6">
        <v>5.0</v>
      </c>
      <c r="F40" s="7">
        <f t="shared" si="8"/>
        <v>2.165063509</v>
      </c>
      <c r="G40" s="7">
        <f t="shared" si="3"/>
        <v>8.660254038</v>
      </c>
      <c r="H40" s="7">
        <f t="shared" si="4"/>
        <v>54.12658774</v>
      </c>
      <c r="I40" s="7">
        <f t="shared" si="5"/>
        <v>216.5063509</v>
      </c>
      <c r="J40" s="7">
        <f t="shared" si="6"/>
        <v>487.1392896</v>
      </c>
      <c r="K40" s="7">
        <f t="shared" si="7"/>
        <v>866.0254038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6">
        <v>60.0</v>
      </c>
      <c r="B41" s="6">
        <f t="shared" si="2"/>
        <v>1.047197551</v>
      </c>
      <c r="C41" s="6">
        <v>40.0</v>
      </c>
      <c r="D41" s="6">
        <v>30.0</v>
      </c>
      <c r="E41" s="6">
        <v>5.0</v>
      </c>
      <c r="F41" s="7">
        <f t="shared" si="8"/>
        <v>8.660254038</v>
      </c>
      <c r="G41" s="7">
        <f t="shared" si="3"/>
        <v>34.64101615</v>
      </c>
      <c r="H41" s="7">
        <f t="shared" si="4"/>
        <v>216.5063509</v>
      </c>
      <c r="I41" s="7">
        <f t="shared" si="5"/>
        <v>866.0254038</v>
      </c>
      <c r="J41" s="7">
        <f t="shared" si="6"/>
        <v>1948.557159</v>
      </c>
      <c r="K41" s="7">
        <f t="shared" si="7"/>
        <v>3464.101615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6">
        <v>90.0</v>
      </c>
      <c r="B42" s="6">
        <f t="shared" si="2"/>
        <v>1.570796327</v>
      </c>
      <c r="C42" s="6">
        <v>40.0</v>
      </c>
      <c r="D42" s="6">
        <v>30.0</v>
      </c>
      <c r="E42" s="6">
        <v>5.0</v>
      </c>
      <c r="F42" s="7">
        <f t="shared" si="8"/>
        <v>5</v>
      </c>
      <c r="G42" s="7">
        <f t="shared" si="3"/>
        <v>20</v>
      </c>
      <c r="H42" s="7">
        <f t="shared" si="4"/>
        <v>125</v>
      </c>
      <c r="I42" s="7">
        <f t="shared" si="5"/>
        <v>500</v>
      </c>
      <c r="J42" s="7">
        <f t="shared" si="6"/>
        <v>1125</v>
      </c>
      <c r="K42" s="7">
        <f t="shared" si="7"/>
        <v>2000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>
        <v>120.0</v>
      </c>
      <c r="B43" s="6">
        <f t="shared" si="2"/>
        <v>2.094395102</v>
      </c>
      <c r="C43" s="6">
        <v>40.0</v>
      </c>
      <c r="D43" s="6">
        <v>30.0</v>
      </c>
      <c r="E43" s="6">
        <v>5.0</v>
      </c>
      <c r="F43" s="7">
        <f t="shared" si="8"/>
        <v>2.886751346</v>
      </c>
      <c r="G43" s="7">
        <f t="shared" si="3"/>
        <v>11.54700538</v>
      </c>
      <c r="H43" s="7">
        <f t="shared" si="4"/>
        <v>72.16878365</v>
      </c>
      <c r="I43" s="7">
        <f t="shared" si="5"/>
        <v>288.6751346</v>
      </c>
      <c r="J43" s="7">
        <f t="shared" si="6"/>
        <v>649.5190528</v>
      </c>
      <c r="K43" s="7">
        <f t="shared" si="7"/>
        <v>1154.700538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6">
        <v>60.0</v>
      </c>
      <c r="B44" s="6">
        <f t="shared" si="2"/>
        <v>1.047197551</v>
      </c>
      <c r="C44" s="6">
        <v>60.0</v>
      </c>
      <c r="D44" s="6">
        <v>30.0</v>
      </c>
      <c r="E44" s="6">
        <v>5.0</v>
      </c>
      <c r="F44" s="7">
        <f t="shared" si="8"/>
        <v>5.773502692</v>
      </c>
      <c r="G44" s="7">
        <f t="shared" si="3"/>
        <v>23.09401077</v>
      </c>
      <c r="H44" s="7">
        <f t="shared" si="4"/>
        <v>144.3375673</v>
      </c>
      <c r="I44" s="7">
        <f t="shared" si="5"/>
        <v>577.3502692</v>
      </c>
      <c r="J44" s="7">
        <f t="shared" si="6"/>
        <v>1299.038106</v>
      </c>
      <c r="K44" s="7">
        <f t="shared" si="7"/>
        <v>2309.401077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>
        <v>90.0</v>
      </c>
      <c r="B45" s="6">
        <f t="shared" si="2"/>
        <v>1.570796327</v>
      </c>
      <c r="C45" s="6">
        <v>60.0</v>
      </c>
      <c r="D45" s="6">
        <v>30.0</v>
      </c>
      <c r="E45" s="6">
        <v>5.0</v>
      </c>
      <c r="F45" s="7">
        <f t="shared" si="8"/>
        <v>3.333333333</v>
      </c>
      <c r="G45" s="7">
        <f t="shared" si="3"/>
        <v>13.33333333</v>
      </c>
      <c r="H45" s="7">
        <f t="shared" si="4"/>
        <v>83.33333333</v>
      </c>
      <c r="I45" s="7">
        <f t="shared" si="5"/>
        <v>333.3333333</v>
      </c>
      <c r="J45" s="7">
        <f t="shared" si="6"/>
        <v>750</v>
      </c>
      <c r="K45" s="7">
        <f t="shared" si="7"/>
        <v>1333.333333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6">
        <v>120.0</v>
      </c>
      <c r="B46" s="6">
        <f t="shared" si="2"/>
        <v>2.094395102</v>
      </c>
      <c r="C46" s="6">
        <v>60.0</v>
      </c>
      <c r="D46" s="6">
        <v>30.0</v>
      </c>
      <c r="E46" s="6">
        <v>5.0</v>
      </c>
      <c r="F46" s="7">
        <f t="shared" si="8"/>
        <v>1.924500897</v>
      </c>
      <c r="G46" s="7">
        <f t="shared" si="3"/>
        <v>7.698003589</v>
      </c>
      <c r="H46" s="7">
        <f t="shared" si="4"/>
        <v>48.11252243</v>
      </c>
      <c r="I46" s="7">
        <f t="shared" si="5"/>
        <v>192.4500897</v>
      </c>
      <c r="J46" s="7">
        <f t="shared" si="6"/>
        <v>433.0127019</v>
      </c>
      <c r="K46" s="7">
        <f t="shared" si="7"/>
        <v>769.8003589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6">
        <v>60.0</v>
      </c>
      <c r="B47" s="6">
        <f t="shared" si="2"/>
        <v>1.047197551</v>
      </c>
      <c r="C47" s="6">
        <v>80.0</v>
      </c>
      <c r="D47" s="6">
        <v>30.0</v>
      </c>
      <c r="E47" s="6">
        <v>5.0</v>
      </c>
      <c r="F47" s="7">
        <f t="shared" si="8"/>
        <v>4.330127019</v>
      </c>
      <c r="G47" s="7">
        <f t="shared" si="3"/>
        <v>17.32050808</v>
      </c>
      <c r="H47" s="7">
        <f t="shared" si="4"/>
        <v>108.2531755</v>
      </c>
      <c r="I47" s="7">
        <f t="shared" si="5"/>
        <v>433.0127019</v>
      </c>
      <c r="J47" s="7">
        <f t="shared" si="6"/>
        <v>974.2785793</v>
      </c>
      <c r="K47" s="7">
        <f t="shared" si="7"/>
        <v>1732.050808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6">
        <v>90.0</v>
      </c>
      <c r="B48" s="6">
        <f t="shared" si="2"/>
        <v>1.570796327</v>
      </c>
      <c r="C48" s="6">
        <v>80.0</v>
      </c>
      <c r="D48" s="6">
        <v>30.0</v>
      </c>
      <c r="E48" s="6">
        <v>5.0</v>
      </c>
      <c r="F48" s="7">
        <f t="shared" si="8"/>
        <v>2.5</v>
      </c>
      <c r="G48" s="7">
        <f t="shared" si="3"/>
        <v>10</v>
      </c>
      <c r="H48" s="7">
        <f t="shared" si="4"/>
        <v>62.5</v>
      </c>
      <c r="I48" s="7">
        <f t="shared" si="5"/>
        <v>250</v>
      </c>
      <c r="J48" s="7">
        <f t="shared" si="6"/>
        <v>562.5</v>
      </c>
      <c r="K48" s="7">
        <f t="shared" si="7"/>
        <v>1000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6">
        <v>120.0</v>
      </c>
      <c r="B49" s="6">
        <f t="shared" si="2"/>
        <v>2.094395102</v>
      </c>
      <c r="C49" s="6">
        <v>80.0</v>
      </c>
      <c r="D49" s="6">
        <v>30.0</v>
      </c>
      <c r="E49" s="6">
        <v>5.0</v>
      </c>
      <c r="F49" s="7">
        <f t="shared" si="8"/>
        <v>1.443375673</v>
      </c>
      <c r="G49" s="7">
        <f t="shared" si="3"/>
        <v>5.773502692</v>
      </c>
      <c r="H49" s="7">
        <f t="shared" si="4"/>
        <v>36.08439182</v>
      </c>
      <c r="I49" s="7">
        <f t="shared" si="5"/>
        <v>144.3375673</v>
      </c>
      <c r="J49" s="7">
        <f t="shared" si="6"/>
        <v>324.7595264</v>
      </c>
      <c r="K49" s="7">
        <f t="shared" si="7"/>
        <v>577.3502692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6">
        <v>60.0</v>
      </c>
      <c r="B50" s="6">
        <f t="shared" si="2"/>
        <v>1.047197551</v>
      </c>
      <c r="C50" s="6">
        <v>40.0</v>
      </c>
      <c r="D50" s="6">
        <v>40.0</v>
      </c>
      <c r="E50" s="6">
        <v>5.0</v>
      </c>
      <c r="F50" s="7">
        <f t="shared" si="8"/>
        <v>6.495190528</v>
      </c>
      <c r="G50" s="7">
        <f t="shared" si="3"/>
        <v>25.98076211</v>
      </c>
      <c r="H50" s="7">
        <f t="shared" si="4"/>
        <v>162.3797632</v>
      </c>
      <c r="I50" s="7">
        <f t="shared" si="5"/>
        <v>649.5190528</v>
      </c>
      <c r="J50" s="7">
        <f t="shared" si="6"/>
        <v>1461.417869</v>
      </c>
      <c r="K50" s="7">
        <f t="shared" si="7"/>
        <v>2598.076211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>
        <v>90.0</v>
      </c>
      <c r="B51" s="6">
        <f t="shared" si="2"/>
        <v>1.570796327</v>
      </c>
      <c r="C51" s="6">
        <v>40.0</v>
      </c>
      <c r="D51" s="6">
        <v>40.0</v>
      </c>
      <c r="E51" s="6">
        <v>5.0</v>
      </c>
      <c r="F51" s="7">
        <f t="shared" si="8"/>
        <v>3.75</v>
      </c>
      <c r="G51" s="7">
        <f t="shared" si="3"/>
        <v>15</v>
      </c>
      <c r="H51" s="7">
        <f t="shared" si="4"/>
        <v>93.75</v>
      </c>
      <c r="I51" s="7">
        <f t="shared" si="5"/>
        <v>375</v>
      </c>
      <c r="J51" s="7">
        <f t="shared" si="6"/>
        <v>843.75</v>
      </c>
      <c r="K51" s="7">
        <f t="shared" si="7"/>
        <v>1500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>
        <v>120.0</v>
      </c>
      <c r="B52" s="6">
        <f t="shared" si="2"/>
        <v>2.094395102</v>
      </c>
      <c r="C52" s="6">
        <v>40.0</v>
      </c>
      <c r="D52" s="6">
        <v>40.0</v>
      </c>
      <c r="E52" s="6">
        <v>5.0</v>
      </c>
      <c r="F52" s="7">
        <f t="shared" si="8"/>
        <v>2.165063509</v>
      </c>
      <c r="G52" s="7">
        <f t="shared" si="3"/>
        <v>8.660254038</v>
      </c>
      <c r="H52" s="7">
        <f t="shared" si="4"/>
        <v>54.12658774</v>
      </c>
      <c r="I52" s="7">
        <f t="shared" si="5"/>
        <v>216.5063509</v>
      </c>
      <c r="J52" s="7">
        <f t="shared" si="6"/>
        <v>487.1392896</v>
      </c>
      <c r="K52" s="7">
        <f t="shared" si="7"/>
        <v>866.0254038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>
        <v>60.0</v>
      </c>
      <c r="B53" s="6">
        <f t="shared" si="2"/>
        <v>1.047197551</v>
      </c>
      <c r="C53" s="6">
        <v>60.0</v>
      </c>
      <c r="D53" s="6">
        <v>40.0</v>
      </c>
      <c r="E53" s="6">
        <v>5.0</v>
      </c>
      <c r="F53" s="7">
        <f t="shared" si="8"/>
        <v>4.330127019</v>
      </c>
      <c r="G53" s="7">
        <f t="shared" si="3"/>
        <v>17.32050808</v>
      </c>
      <c r="H53" s="7">
        <f t="shared" si="4"/>
        <v>108.2531755</v>
      </c>
      <c r="I53" s="7">
        <f t="shared" si="5"/>
        <v>433.0127019</v>
      </c>
      <c r="J53" s="7">
        <f t="shared" si="6"/>
        <v>974.2785793</v>
      </c>
      <c r="K53" s="7">
        <f t="shared" si="7"/>
        <v>1732.050808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>
        <v>90.0</v>
      </c>
      <c r="B54" s="6">
        <f t="shared" si="2"/>
        <v>1.570796327</v>
      </c>
      <c r="C54" s="6">
        <v>60.0</v>
      </c>
      <c r="D54" s="6">
        <v>40.0</v>
      </c>
      <c r="E54" s="6">
        <v>5.0</v>
      </c>
      <c r="F54" s="7">
        <f t="shared" si="8"/>
        <v>2.5</v>
      </c>
      <c r="G54" s="7">
        <f t="shared" si="3"/>
        <v>10</v>
      </c>
      <c r="H54" s="7">
        <f t="shared" si="4"/>
        <v>62.5</v>
      </c>
      <c r="I54" s="7">
        <f t="shared" si="5"/>
        <v>250</v>
      </c>
      <c r="J54" s="7">
        <f t="shared" si="6"/>
        <v>562.5</v>
      </c>
      <c r="K54" s="7">
        <f t="shared" si="7"/>
        <v>1000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>
        <v>120.0</v>
      </c>
      <c r="B55" s="6">
        <f t="shared" si="2"/>
        <v>2.094395102</v>
      </c>
      <c r="C55" s="6">
        <v>60.0</v>
      </c>
      <c r="D55" s="6">
        <v>40.0</v>
      </c>
      <c r="E55" s="6">
        <v>5.0</v>
      </c>
      <c r="F55" s="7">
        <f t="shared" si="8"/>
        <v>1.443375673</v>
      </c>
      <c r="G55" s="7">
        <f t="shared" si="3"/>
        <v>5.773502692</v>
      </c>
      <c r="H55" s="7">
        <f t="shared" si="4"/>
        <v>36.08439182</v>
      </c>
      <c r="I55" s="7">
        <f t="shared" si="5"/>
        <v>144.3375673</v>
      </c>
      <c r="J55" s="7">
        <f t="shared" si="6"/>
        <v>324.7595264</v>
      </c>
      <c r="K55" s="7">
        <f t="shared" si="7"/>
        <v>577.3502692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6">
        <v>60.0</v>
      </c>
      <c r="B56" s="6">
        <f t="shared" si="2"/>
        <v>1.047197551</v>
      </c>
      <c r="C56" s="6">
        <v>80.0</v>
      </c>
      <c r="D56" s="6">
        <v>40.0</v>
      </c>
      <c r="E56" s="6">
        <v>5.0</v>
      </c>
      <c r="F56" s="7">
        <f t="shared" si="8"/>
        <v>3.247595264</v>
      </c>
      <c r="G56" s="7">
        <f t="shared" si="3"/>
        <v>12.99038106</v>
      </c>
      <c r="H56" s="7">
        <f t="shared" si="4"/>
        <v>81.1898816</v>
      </c>
      <c r="I56" s="7">
        <f t="shared" si="5"/>
        <v>324.7595264</v>
      </c>
      <c r="J56" s="7">
        <f t="shared" si="6"/>
        <v>730.7089344</v>
      </c>
      <c r="K56" s="7">
        <f t="shared" si="7"/>
        <v>1299.038106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6">
        <v>90.0</v>
      </c>
      <c r="B57" s="6">
        <f t="shared" si="2"/>
        <v>1.570796327</v>
      </c>
      <c r="C57" s="6">
        <v>80.0</v>
      </c>
      <c r="D57" s="6">
        <v>40.0</v>
      </c>
      <c r="E57" s="6">
        <v>5.0</v>
      </c>
      <c r="F57" s="7">
        <f t="shared" si="8"/>
        <v>1.875</v>
      </c>
      <c r="G57" s="7">
        <f t="shared" si="3"/>
        <v>7.5</v>
      </c>
      <c r="H57" s="7">
        <f t="shared" si="4"/>
        <v>46.875</v>
      </c>
      <c r="I57" s="7">
        <f t="shared" si="5"/>
        <v>187.5</v>
      </c>
      <c r="J57" s="7">
        <f t="shared" si="6"/>
        <v>421.875</v>
      </c>
      <c r="K57" s="7">
        <f t="shared" si="7"/>
        <v>750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>
        <v>120.0</v>
      </c>
      <c r="B58" s="6">
        <f t="shared" si="2"/>
        <v>2.094395102</v>
      </c>
      <c r="C58" s="6">
        <v>80.0</v>
      </c>
      <c r="D58" s="6">
        <v>40.0</v>
      </c>
      <c r="E58" s="6">
        <v>5.0</v>
      </c>
      <c r="F58" s="7">
        <f t="shared" si="8"/>
        <v>1.082531755</v>
      </c>
      <c r="G58" s="7">
        <f t="shared" si="3"/>
        <v>4.330127019</v>
      </c>
      <c r="H58" s="7">
        <f t="shared" si="4"/>
        <v>27.06329387</v>
      </c>
      <c r="I58" s="7">
        <f t="shared" si="5"/>
        <v>108.2531755</v>
      </c>
      <c r="J58" s="7">
        <f t="shared" si="6"/>
        <v>243.5696448</v>
      </c>
      <c r="K58" s="7">
        <f t="shared" si="7"/>
        <v>433.0127019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6">
        <v>60.0</v>
      </c>
      <c r="B59" s="6">
        <f t="shared" si="2"/>
        <v>1.047197551</v>
      </c>
      <c r="C59" s="6">
        <v>40.0</v>
      </c>
      <c r="D59" s="6">
        <v>20.0</v>
      </c>
      <c r="E59" s="6">
        <v>10.0</v>
      </c>
      <c r="F59" s="7">
        <f t="shared" si="8"/>
        <v>6.495190528</v>
      </c>
      <c r="G59" s="7">
        <f t="shared" si="3"/>
        <v>25.98076211</v>
      </c>
      <c r="H59" s="7">
        <f t="shared" si="4"/>
        <v>162.3797632</v>
      </c>
      <c r="I59" s="7">
        <f t="shared" si="5"/>
        <v>649.5190528</v>
      </c>
      <c r="J59" s="7">
        <f t="shared" si="6"/>
        <v>1461.417869</v>
      </c>
      <c r="K59" s="7">
        <f t="shared" si="7"/>
        <v>2598.076211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6">
        <v>90.0</v>
      </c>
      <c r="B60" s="6">
        <f t="shared" si="2"/>
        <v>1.570796327</v>
      </c>
      <c r="C60" s="6">
        <v>40.0</v>
      </c>
      <c r="D60" s="6">
        <v>20.0</v>
      </c>
      <c r="E60" s="6">
        <v>10.0</v>
      </c>
      <c r="F60" s="7">
        <f t="shared" si="8"/>
        <v>3.75</v>
      </c>
      <c r="G60" s="7">
        <f t="shared" si="3"/>
        <v>15</v>
      </c>
      <c r="H60" s="7">
        <f t="shared" si="4"/>
        <v>93.75</v>
      </c>
      <c r="I60" s="7">
        <f t="shared" si="5"/>
        <v>375</v>
      </c>
      <c r="J60" s="7">
        <f t="shared" si="6"/>
        <v>843.75</v>
      </c>
      <c r="K60" s="7">
        <f t="shared" si="7"/>
        <v>1500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6">
        <v>120.0</v>
      </c>
      <c r="B61" s="6">
        <f t="shared" si="2"/>
        <v>2.094395102</v>
      </c>
      <c r="C61" s="6">
        <v>40.0</v>
      </c>
      <c r="D61" s="6">
        <v>20.0</v>
      </c>
      <c r="E61" s="6">
        <v>10.0</v>
      </c>
      <c r="F61" s="7">
        <f t="shared" si="8"/>
        <v>2.165063509</v>
      </c>
      <c r="G61" s="7">
        <f t="shared" si="3"/>
        <v>8.660254038</v>
      </c>
      <c r="H61" s="7">
        <f t="shared" si="4"/>
        <v>54.12658774</v>
      </c>
      <c r="I61" s="7">
        <f t="shared" si="5"/>
        <v>216.5063509</v>
      </c>
      <c r="J61" s="7">
        <f t="shared" si="6"/>
        <v>487.1392896</v>
      </c>
      <c r="K61" s="7">
        <f t="shared" si="7"/>
        <v>866.0254038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6">
        <v>60.0</v>
      </c>
      <c r="B62" s="6">
        <f t="shared" si="2"/>
        <v>1.047197551</v>
      </c>
      <c r="C62" s="6">
        <v>60.0</v>
      </c>
      <c r="D62" s="6">
        <v>20.0</v>
      </c>
      <c r="E62" s="6">
        <v>10.0</v>
      </c>
      <c r="F62" s="7">
        <f t="shared" si="8"/>
        <v>4.330127019</v>
      </c>
      <c r="G62" s="7">
        <f t="shared" si="3"/>
        <v>17.32050808</v>
      </c>
      <c r="H62" s="7">
        <f t="shared" si="4"/>
        <v>108.2531755</v>
      </c>
      <c r="I62" s="7">
        <f t="shared" si="5"/>
        <v>433.0127019</v>
      </c>
      <c r="J62" s="7">
        <f t="shared" si="6"/>
        <v>974.2785793</v>
      </c>
      <c r="K62" s="7">
        <f t="shared" si="7"/>
        <v>1732.050808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6">
        <v>90.0</v>
      </c>
      <c r="B63" s="6">
        <f t="shared" si="2"/>
        <v>1.570796327</v>
      </c>
      <c r="C63" s="6">
        <v>60.0</v>
      </c>
      <c r="D63" s="6">
        <v>20.0</v>
      </c>
      <c r="E63" s="6">
        <v>10.0</v>
      </c>
      <c r="F63" s="7">
        <f t="shared" si="8"/>
        <v>2.5</v>
      </c>
      <c r="G63" s="7">
        <f t="shared" si="3"/>
        <v>10</v>
      </c>
      <c r="H63" s="7">
        <f t="shared" si="4"/>
        <v>62.5</v>
      </c>
      <c r="I63" s="7">
        <f t="shared" si="5"/>
        <v>250</v>
      </c>
      <c r="J63" s="7">
        <f t="shared" si="6"/>
        <v>562.5</v>
      </c>
      <c r="K63" s="7">
        <f t="shared" si="7"/>
        <v>1000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6">
        <v>120.0</v>
      </c>
      <c r="B64" s="6">
        <f t="shared" si="2"/>
        <v>2.094395102</v>
      </c>
      <c r="C64" s="6">
        <v>60.0</v>
      </c>
      <c r="D64" s="6">
        <v>20.0</v>
      </c>
      <c r="E64" s="6">
        <v>10.0</v>
      </c>
      <c r="F64" s="7">
        <f t="shared" si="8"/>
        <v>1.443375673</v>
      </c>
      <c r="G64" s="7">
        <f t="shared" si="3"/>
        <v>5.773502692</v>
      </c>
      <c r="H64" s="7">
        <f t="shared" si="4"/>
        <v>36.08439182</v>
      </c>
      <c r="I64" s="7">
        <f t="shared" si="5"/>
        <v>144.3375673</v>
      </c>
      <c r="J64" s="7">
        <f t="shared" si="6"/>
        <v>324.7595264</v>
      </c>
      <c r="K64" s="7">
        <f t="shared" si="7"/>
        <v>577.3502692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6">
        <v>60.0</v>
      </c>
      <c r="B65" s="6">
        <f t="shared" si="2"/>
        <v>1.047197551</v>
      </c>
      <c r="C65" s="6">
        <v>80.0</v>
      </c>
      <c r="D65" s="6">
        <v>20.0</v>
      </c>
      <c r="E65" s="6">
        <v>10.0</v>
      </c>
      <c r="F65" s="7">
        <f t="shared" si="8"/>
        <v>3.247595264</v>
      </c>
      <c r="G65" s="7">
        <f t="shared" si="3"/>
        <v>12.99038106</v>
      </c>
      <c r="H65" s="7">
        <f t="shared" si="4"/>
        <v>81.1898816</v>
      </c>
      <c r="I65" s="7">
        <f t="shared" si="5"/>
        <v>324.7595264</v>
      </c>
      <c r="J65" s="7">
        <f t="shared" si="6"/>
        <v>730.7089344</v>
      </c>
      <c r="K65" s="7">
        <f t="shared" si="7"/>
        <v>1299.038106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6">
        <v>90.0</v>
      </c>
      <c r="B66" s="6">
        <f t="shared" si="2"/>
        <v>1.570796327</v>
      </c>
      <c r="C66" s="6">
        <v>80.0</v>
      </c>
      <c r="D66" s="6">
        <v>20.0</v>
      </c>
      <c r="E66" s="6">
        <v>10.0</v>
      </c>
      <c r="F66" s="7">
        <f t="shared" si="8"/>
        <v>1.875</v>
      </c>
      <c r="G66" s="7">
        <f t="shared" si="3"/>
        <v>7.5</v>
      </c>
      <c r="H66" s="7">
        <f t="shared" si="4"/>
        <v>46.875</v>
      </c>
      <c r="I66" s="7">
        <f t="shared" si="5"/>
        <v>187.5</v>
      </c>
      <c r="J66" s="7">
        <f t="shared" si="6"/>
        <v>421.875</v>
      </c>
      <c r="K66" s="7">
        <f t="shared" si="7"/>
        <v>750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6">
        <v>120.0</v>
      </c>
      <c r="B67" s="6">
        <f t="shared" si="2"/>
        <v>2.094395102</v>
      </c>
      <c r="C67" s="6">
        <v>80.0</v>
      </c>
      <c r="D67" s="6">
        <v>20.0</v>
      </c>
      <c r="E67" s="6">
        <v>10.0</v>
      </c>
      <c r="F67" s="7">
        <f t="shared" si="8"/>
        <v>1.082531755</v>
      </c>
      <c r="G67" s="7">
        <f t="shared" si="3"/>
        <v>4.330127019</v>
      </c>
      <c r="H67" s="7">
        <f t="shared" si="4"/>
        <v>27.06329387</v>
      </c>
      <c r="I67" s="7">
        <f t="shared" si="5"/>
        <v>108.2531755</v>
      </c>
      <c r="J67" s="7">
        <f t="shared" si="6"/>
        <v>243.5696448</v>
      </c>
      <c r="K67" s="7">
        <f t="shared" si="7"/>
        <v>433.0127019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6">
        <v>60.0</v>
      </c>
      <c r="B68" s="6">
        <f t="shared" si="2"/>
        <v>1.047197551</v>
      </c>
      <c r="C68" s="6">
        <v>40.0</v>
      </c>
      <c r="D68" s="6">
        <v>30.0</v>
      </c>
      <c r="E68" s="6">
        <v>10.0</v>
      </c>
      <c r="F68" s="7">
        <f t="shared" si="8"/>
        <v>4.330127019</v>
      </c>
      <c r="G68" s="7">
        <f t="shared" si="3"/>
        <v>17.32050808</v>
      </c>
      <c r="H68" s="7">
        <f t="shared" si="4"/>
        <v>108.2531755</v>
      </c>
      <c r="I68" s="7">
        <f t="shared" si="5"/>
        <v>433.0127019</v>
      </c>
      <c r="J68" s="7">
        <f t="shared" si="6"/>
        <v>974.2785793</v>
      </c>
      <c r="K68" s="7">
        <f t="shared" si="7"/>
        <v>1732.050808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6">
        <v>90.0</v>
      </c>
      <c r="B69" s="6">
        <f t="shared" si="2"/>
        <v>1.570796327</v>
      </c>
      <c r="C69" s="6">
        <v>40.0</v>
      </c>
      <c r="D69" s="6">
        <v>30.0</v>
      </c>
      <c r="E69" s="6">
        <v>10.0</v>
      </c>
      <c r="F69" s="7">
        <f t="shared" si="8"/>
        <v>2.5</v>
      </c>
      <c r="G69" s="7">
        <f t="shared" si="3"/>
        <v>10</v>
      </c>
      <c r="H69" s="7">
        <f t="shared" si="4"/>
        <v>62.5</v>
      </c>
      <c r="I69" s="7">
        <f t="shared" si="5"/>
        <v>250</v>
      </c>
      <c r="J69" s="7">
        <f t="shared" si="6"/>
        <v>562.5</v>
      </c>
      <c r="K69" s="7">
        <f t="shared" si="7"/>
        <v>1000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6">
        <v>120.0</v>
      </c>
      <c r="B70" s="6">
        <f t="shared" si="2"/>
        <v>2.094395102</v>
      </c>
      <c r="C70" s="6">
        <v>40.0</v>
      </c>
      <c r="D70" s="6">
        <v>30.0</v>
      </c>
      <c r="E70" s="6">
        <v>10.0</v>
      </c>
      <c r="F70" s="7">
        <f t="shared" si="8"/>
        <v>1.443375673</v>
      </c>
      <c r="G70" s="7">
        <f t="shared" si="3"/>
        <v>5.773502692</v>
      </c>
      <c r="H70" s="7">
        <f t="shared" si="4"/>
        <v>36.08439182</v>
      </c>
      <c r="I70" s="7">
        <f t="shared" si="5"/>
        <v>144.3375673</v>
      </c>
      <c r="J70" s="7">
        <f t="shared" si="6"/>
        <v>324.7595264</v>
      </c>
      <c r="K70" s="7">
        <f t="shared" si="7"/>
        <v>577.3502692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6">
        <v>60.0</v>
      </c>
      <c r="B71" s="6">
        <f t="shared" si="2"/>
        <v>1.047197551</v>
      </c>
      <c r="C71" s="6">
        <v>60.0</v>
      </c>
      <c r="D71" s="6">
        <v>30.0</v>
      </c>
      <c r="E71" s="6">
        <v>10.0</v>
      </c>
      <c r="F71" s="7">
        <f t="shared" si="8"/>
        <v>2.886751346</v>
      </c>
      <c r="G71" s="7">
        <f t="shared" si="3"/>
        <v>11.54700538</v>
      </c>
      <c r="H71" s="7">
        <f t="shared" si="4"/>
        <v>72.16878365</v>
      </c>
      <c r="I71" s="7">
        <f t="shared" si="5"/>
        <v>288.6751346</v>
      </c>
      <c r="J71" s="7">
        <f t="shared" si="6"/>
        <v>649.5190528</v>
      </c>
      <c r="K71" s="7">
        <f t="shared" si="7"/>
        <v>1154.700538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6">
        <v>90.0</v>
      </c>
      <c r="B72" s="6">
        <f t="shared" si="2"/>
        <v>1.570796327</v>
      </c>
      <c r="C72" s="6">
        <v>60.0</v>
      </c>
      <c r="D72" s="6">
        <v>30.0</v>
      </c>
      <c r="E72" s="6">
        <v>10.0</v>
      </c>
      <c r="F72" s="7">
        <f t="shared" si="8"/>
        <v>1.666666667</v>
      </c>
      <c r="G72" s="7">
        <f t="shared" si="3"/>
        <v>6.666666667</v>
      </c>
      <c r="H72" s="7">
        <f t="shared" si="4"/>
        <v>41.66666667</v>
      </c>
      <c r="I72" s="7">
        <f t="shared" si="5"/>
        <v>166.6666667</v>
      </c>
      <c r="J72" s="7">
        <f t="shared" si="6"/>
        <v>375</v>
      </c>
      <c r="K72" s="7">
        <f t="shared" si="7"/>
        <v>666.6666667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6">
        <v>120.0</v>
      </c>
      <c r="B73" s="6">
        <f t="shared" si="2"/>
        <v>2.094395102</v>
      </c>
      <c r="C73" s="6">
        <v>60.0</v>
      </c>
      <c r="D73" s="6">
        <v>30.0</v>
      </c>
      <c r="E73" s="6">
        <v>10.0</v>
      </c>
      <c r="F73" s="7">
        <f t="shared" si="8"/>
        <v>0.9622504486</v>
      </c>
      <c r="G73" s="7">
        <f t="shared" si="3"/>
        <v>3.849001795</v>
      </c>
      <c r="H73" s="7">
        <f t="shared" si="4"/>
        <v>24.05626122</v>
      </c>
      <c r="I73" s="7">
        <f t="shared" si="5"/>
        <v>96.22504486</v>
      </c>
      <c r="J73" s="7">
        <f t="shared" si="6"/>
        <v>216.5063509</v>
      </c>
      <c r="K73" s="7">
        <f t="shared" si="7"/>
        <v>384.9001795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6">
        <v>60.0</v>
      </c>
      <c r="B74" s="6">
        <f t="shared" si="2"/>
        <v>1.047197551</v>
      </c>
      <c r="C74" s="6">
        <v>80.0</v>
      </c>
      <c r="D74" s="6">
        <v>30.0</v>
      </c>
      <c r="E74" s="6">
        <v>10.0</v>
      </c>
      <c r="F74" s="7">
        <f t="shared" si="8"/>
        <v>2.165063509</v>
      </c>
      <c r="G74" s="7">
        <f t="shared" si="3"/>
        <v>8.660254038</v>
      </c>
      <c r="H74" s="7">
        <f t="shared" si="4"/>
        <v>54.12658774</v>
      </c>
      <c r="I74" s="7">
        <f t="shared" si="5"/>
        <v>216.5063509</v>
      </c>
      <c r="J74" s="7">
        <f t="shared" si="6"/>
        <v>487.1392896</v>
      </c>
      <c r="K74" s="7">
        <f t="shared" si="7"/>
        <v>866.0254038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6">
        <v>90.0</v>
      </c>
      <c r="B75" s="6">
        <f t="shared" si="2"/>
        <v>1.570796327</v>
      </c>
      <c r="C75" s="6">
        <v>80.0</v>
      </c>
      <c r="D75" s="6">
        <v>30.0</v>
      </c>
      <c r="E75" s="6">
        <v>10.0</v>
      </c>
      <c r="F75" s="7">
        <f t="shared" si="8"/>
        <v>1.25</v>
      </c>
      <c r="G75" s="7">
        <f t="shared" si="3"/>
        <v>5</v>
      </c>
      <c r="H75" s="7">
        <f t="shared" si="4"/>
        <v>31.25</v>
      </c>
      <c r="I75" s="7">
        <f t="shared" si="5"/>
        <v>125</v>
      </c>
      <c r="J75" s="7">
        <f t="shared" si="6"/>
        <v>281.25</v>
      </c>
      <c r="K75" s="7">
        <f t="shared" si="7"/>
        <v>500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6">
        <v>120.0</v>
      </c>
      <c r="B76" s="6">
        <f t="shared" si="2"/>
        <v>2.094395102</v>
      </c>
      <c r="C76" s="6">
        <v>80.0</v>
      </c>
      <c r="D76" s="6">
        <v>30.0</v>
      </c>
      <c r="E76" s="6">
        <v>10.0</v>
      </c>
      <c r="F76" s="7">
        <f t="shared" si="8"/>
        <v>0.7216878365</v>
      </c>
      <c r="G76" s="7">
        <f t="shared" si="3"/>
        <v>2.886751346</v>
      </c>
      <c r="H76" s="7">
        <f t="shared" si="4"/>
        <v>18.04219591</v>
      </c>
      <c r="I76" s="7">
        <f t="shared" si="5"/>
        <v>72.16878365</v>
      </c>
      <c r="J76" s="7">
        <f t="shared" si="6"/>
        <v>162.3797632</v>
      </c>
      <c r="K76" s="7">
        <f t="shared" si="7"/>
        <v>288.6751346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>
        <v>60.0</v>
      </c>
      <c r="B77" s="6">
        <f t="shared" si="2"/>
        <v>1.047197551</v>
      </c>
      <c r="C77" s="6">
        <v>40.0</v>
      </c>
      <c r="D77" s="6">
        <v>40.0</v>
      </c>
      <c r="E77" s="6">
        <v>10.0</v>
      </c>
      <c r="F77" s="7">
        <f t="shared" si="8"/>
        <v>3.247595264</v>
      </c>
      <c r="G77" s="7">
        <f t="shared" si="3"/>
        <v>12.99038106</v>
      </c>
      <c r="H77" s="7">
        <f t="shared" si="4"/>
        <v>81.1898816</v>
      </c>
      <c r="I77" s="7">
        <f t="shared" si="5"/>
        <v>324.7595264</v>
      </c>
      <c r="J77" s="7">
        <f t="shared" si="6"/>
        <v>730.7089344</v>
      </c>
      <c r="K77" s="7">
        <f t="shared" si="7"/>
        <v>1299.038106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6">
        <v>90.0</v>
      </c>
      <c r="B78" s="6">
        <f t="shared" si="2"/>
        <v>1.570796327</v>
      </c>
      <c r="C78" s="6">
        <v>40.0</v>
      </c>
      <c r="D78" s="6">
        <v>40.0</v>
      </c>
      <c r="E78" s="6">
        <v>10.0</v>
      </c>
      <c r="F78" s="7">
        <f t="shared" si="8"/>
        <v>1.875</v>
      </c>
      <c r="G78" s="7">
        <f t="shared" si="3"/>
        <v>7.5</v>
      </c>
      <c r="H78" s="7">
        <f t="shared" si="4"/>
        <v>46.875</v>
      </c>
      <c r="I78" s="7">
        <f t="shared" si="5"/>
        <v>187.5</v>
      </c>
      <c r="J78" s="7">
        <f t="shared" si="6"/>
        <v>421.875</v>
      </c>
      <c r="K78" s="7">
        <f t="shared" si="7"/>
        <v>750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6">
        <v>120.0</v>
      </c>
      <c r="B79" s="6">
        <f t="shared" si="2"/>
        <v>2.094395102</v>
      </c>
      <c r="C79" s="6">
        <v>40.0</v>
      </c>
      <c r="D79" s="6">
        <v>40.0</v>
      </c>
      <c r="E79" s="6">
        <v>10.0</v>
      </c>
      <c r="F79" s="7">
        <f t="shared" si="8"/>
        <v>1.082531755</v>
      </c>
      <c r="G79" s="7">
        <f t="shared" si="3"/>
        <v>4.330127019</v>
      </c>
      <c r="H79" s="7">
        <f t="shared" si="4"/>
        <v>27.06329387</v>
      </c>
      <c r="I79" s="7">
        <f t="shared" si="5"/>
        <v>108.2531755</v>
      </c>
      <c r="J79" s="7">
        <f t="shared" si="6"/>
        <v>243.5696448</v>
      </c>
      <c r="K79" s="7">
        <f t="shared" si="7"/>
        <v>433.0127019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6">
        <v>60.0</v>
      </c>
      <c r="B80" s="6">
        <f t="shared" si="2"/>
        <v>1.047197551</v>
      </c>
      <c r="C80" s="6">
        <v>60.0</v>
      </c>
      <c r="D80" s="6">
        <v>40.0</v>
      </c>
      <c r="E80" s="6">
        <v>10.0</v>
      </c>
      <c r="F80" s="7">
        <f t="shared" si="8"/>
        <v>2.165063509</v>
      </c>
      <c r="G80" s="7">
        <f t="shared" si="3"/>
        <v>8.660254038</v>
      </c>
      <c r="H80" s="7">
        <f t="shared" si="4"/>
        <v>54.12658774</v>
      </c>
      <c r="I80" s="7">
        <f t="shared" si="5"/>
        <v>216.5063509</v>
      </c>
      <c r="J80" s="7">
        <f t="shared" si="6"/>
        <v>487.1392896</v>
      </c>
      <c r="K80" s="7">
        <f t="shared" si="7"/>
        <v>866.0254038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6">
        <v>90.0</v>
      </c>
      <c r="B81" s="6">
        <f t="shared" si="2"/>
        <v>1.570796327</v>
      </c>
      <c r="C81" s="6">
        <v>60.0</v>
      </c>
      <c r="D81" s="6">
        <v>40.0</v>
      </c>
      <c r="E81" s="6">
        <v>10.0</v>
      </c>
      <c r="F81" s="7">
        <f t="shared" si="8"/>
        <v>1.25</v>
      </c>
      <c r="G81" s="7">
        <f t="shared" si="3"/>
        <v>5</v>
      </c>
      <c r="H81" s="7">
        <f t="shared" si="4"/>
        <v>31.25</v>
      </c>
      <c r="I81" s="7">
        <f t="shared" si="5"/>
        <v>125</v>
      </c>
      <c r="J81" s="7">
        <f t="shared" si="6"/>
        <v>281.25</v>
      </c>
      <c r="K81" s="7">
        <f t="shared" si="7"/>
        <v>500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6">
        <v>120.0</v>
      </c>
      <c r="B82" s="6">
        <f t="shared" si="2"/>
        <v>2.094395102</v>
      </c>
      <c r="C82" s="6">
        <v>60.0</v>
      </c>
      <c r="D82" s="6">
        <v>40.0</v>
      </c>
      <c r="E82" s="6">
        <v>10.0</v>
      </c>
      <c r="F82" s="7">
        <f t="shared" si="8"/>
        <v>0.7216878365</v>
      </c>
      <c r="G82" s="7">
        <f t="shared" si="3"/>
        <v>2.886751346</v>
      </c>
      <c r="H82" s="7">
        <f t="shared" si="4"/>
        <v>18.04219591</v>
      </c>
      <c r="I82" s="7">
        <f t="shared" si="5"/>
        <v>72.16878365</v>
      </c>
      <c r="J82" s="7">
        <f t="shared" si="6"/>
        <v>162.3797632</v>
      </c>
      <c r="K82" s="7">
        <f t="shared" si="7"/>
        <v>288.6751346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6">
        <v>60.0</v>
      </c>
      <c r="B83" s="6">
        <f t="shared" si="2"/>
        <v>1.047197551</v>
      </c>
      <c r="C83" s="6">
        <v>80.0</v>
      </c>
      <c r="D83" s="6">
        <v>40.0</v>
      </c>
      <c r="E83" s="6">
        <v>10.0</v>
      </c>
      <c r="F83" s="7">
        <f t="shared" si="8"/>
        <v>1.623797632</v>
      </c>
      <c r="G83" s="7">
        <f t="shared" si="3"/>
        <v>6.495190528</v>
      </c>
      <c r="H83" s="7">
        <f t="shared" si="4"/>
        <v>40.5949408</v>
      </c>
      <c r="I83" s="7">
        <f t="shared" si="5"/>
        <v>162.3797632</v>
      </c>
      <c r="J83" s="7">
        <f t="shared" si="6"/>
        <v>365.3544672</v>
      </c>
      <c r="K83" s="7">
        <f t="shared" si="7"/>
        <v>649.5190528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6">
        <v>90.0</v>
      </c>
      <c r="B84" s="6">
        <f t="shared" si="2"/>
        <v>1.570796327</v>
      </c>
      <c r="C84" s="6">
        <v>80.0</v>
      </c>
      <c r="D84" s="6">
        <v>40.0</v>
      </c>
      <c r="E84" s="6">
        <v>10.0</v>
      </c>
      <c r="F84" s="7">
        <f t="shared" si="8"/>
        <v>0.9375</v>
      </c>
      <c r="G84" s="7">
        <f t="shared" si="3"/>
        <v>3.75</v>
      </c>
      <c r="H84" s="7">
        <f t="shared" si="4"/>
        <v>23.4375</v>
      </c>
      <c r="I84" s="7">
        <f t="shared" si="5"/>
        <v>93.75</v>
      </c>
      <c r="J84" s="7">
        <f t="shared" si="6"/>
        <v>210.9375</v>
      </c>
      <c r="K84" s="7">
        <f t="shared" si="7"/>
        <v>375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6">
        <v>120.0</v>
      </c>
      <c r="B85" s="6">
        <f t="shared" si="2"/>
        <v>2.094395102</v>
      </c>
      <c r="C85" s="6">
        <v>80.0</v>
      </c>
      <c r="D85" s="6">
        <v>40.0</v>
      </c>
      <c r="E85" s="6">
        <v>10.0</v>
      </c>
      <c r="F85" s="9">
        <f t="shared" si="8"/>
        <v>0.5412658774</v>
      </c>
      <c r="G85" s="7">
        <f t="shared" si="3"/>
        <v>2.165063509</v>
      </c>
      <c r="H85" s="7">
        <f t="shared" si="4"/>
        <v>13.53164693</v>
      </c>
      <c r="I85" s="7">
        <f t="shared" si="5"/>
        <v>54.12658774</v>
      </c>
      <c r="J85" s="7">
        <f t="shared" si="6"/>
        <v>121.7848224</v>
      </c>
      <c r="K85" s="7">
        <f t="shared" si="7"/>
        <v>216.5063509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10" t="s">
        <v>8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</sheetData>
  <mergeCells count="1">
    <mergeCell ref="C90:J9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